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epak.Powar\Downloads\app (1)\temp\"/>
    </mc:Choice>
  </mc:AlternateContent>
  <xr:revisionPtr revIDLastSave="0" documentId="13_ncr:1_{C1ABF5CF-50C2-4D04-9EC7-AEB02B4883CA}" xr6:coauthVersionLast="47" xr6:coauthVersionMax="47" xr10:uidLastSave="{00000000-0000-0000-0000-000000000000}"/>
  <bookViews>
    <workbookView xWindow="-110" yWindow="-110" windowWidth="19420" windowHeight="1150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94" i="1" l="1"/>
  <c r="G93" i="1"/>
  <c r="H92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 s="1"/>
  <c r="O77" i="1"/>
  <c r="Q77" i="1" s="1"/>
  <c r="O78" i="1"/>
  <c r="Q78" i="1" s="1"/>
  <c r="O79" i="1"/>
  <c r="Q79" i="1" s="1"/>
  <c r="O80" i="1"/>
  <c r="O81" i="1"/>
  <c r="O82" i="1"/>
  <c r="O83" i="1"/>
  <c r="O84" i="1"/>
  <c r="O85" i="1"/>
  <c r="O86" i="1"/>
  <c r="O87" i="1"/>
  <c r="O88" i="1"/>
  <c r="Q88" i="1" s="1"/>
  <c r="O89" i="1"/>
  <c r="O90" i="1"/>
  <c r="Q90" i="1" s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 l="1"/>
  <c r="AS111" i="1" s="1"/>
  <c r="AG110" i="1"/>
  <c r="AG111" i="1" s="1"/>
  <c r="W110" i="1"/>
  <c r="W111" i="1" s="1"/>
  <c r="Y110" i="1"/>
  <c r="Y111" i="1" s="1"/>
  <c r="AO110" i="1"/>
  <c r="AO111" i="1" s="1"/>
  <c r="AW110" i="1"/>
  <c r="AW111" i="1" s="1"/>
  <c r="AA110" i="1"/>
  <c r="O110" i="1"/>
  <c r="O111" i="1" s="1"/>
  <c r="U110" i="1"/>
  <c r="U111" i="1" s="1"/>
  <c r="AU110" i="1"/>
  <c r="AU111" i="1" s="1"/>
  <c r="AC110" i="1"/>
  <c r="AC111" i="1" s="1"/>
  <c r="AE110" i="1"/>
  <c r="AE111" i="1" s="1"/>
  <c r="Q110" i="1"/>
  <c r="Q111" i="1" s="1"/>
  <c r="AI110" i="1"/>
  <c r="AQ110" i="1"/>
  <c r="AQ111" i="1" s="1"/>
  <c r="AM110" i="1"/>
  <c r="AM111" i="1" s="1"/>
  <c r="M110" i="1"/>
  <c r="M111" i="1" s="1"/>
  <c r="AK110" i="1"/>
  <c r="AK111" i="1" s="1"/>
  <c r="S110" i="1"/>
  <c r="S111" i="1" s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I111" i="1" l="1"/>
  <c r="AE7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A111" i="1" s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<sst xmlns="http://schemas.openxmlformats.org/spreadsheetml/2006/main" count="2482" uniqueCount="298">
  <si>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</si>
  <si>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</si>
  <si>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</si>
  <si>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</si>
  <si>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</si>
  <si>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</si>
  <si>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</si>
  <si>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</si>
  <si>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</si>
  <si>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</si>
  <si>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</si>
  <si>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</si>
  <si>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</si>
  <si>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</si>
  <si>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</si>
  <si>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</si>
  <si>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</si>
  <si>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</si>
  <si>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</si>
  <si>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</si>
  <si>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</si>
  <si>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</si>
  <si>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</si>
  <si>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</si>
  <si>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</si>
  <si>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</si>
  <si>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</si>
  <si>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</si>
  <si>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</si>
  <si>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</si>
  <si>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</si>
  <si>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</si>
  <si>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</si>
  <si>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</si>
  <si>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</si>
  <si>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</si>
  <si>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</si>
  <si>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</si>
  <si>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</si>
  <si>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</si>
  <si>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</si>
  <si>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</si>
  <si>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</si>
  <si>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</si>
  <si>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</si>
  <si>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</si>
  <si>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</si>
  <si>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</si>
  <si>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</si>
  <si>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</si>
  <si>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</si>
  <si>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</si>
  <si>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</si>
  <si>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</si>
  <si>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</si>
  <si>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</si>
  <si>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</si>
  <si>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</si>
  <si>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</si>
  <si>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</si>
  <si>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</si>
  <si>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</si>
  <si>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</si>
  <si>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</si>
  <si>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</si>
  <si>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</si>
  <si>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</si>
  <si>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</si>
  <si>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</si>
  <si>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</si>
  <si>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</si>
  <si>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</si>
  <si>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</si>
  <si>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</si>
  <si>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</si>
  <si>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</si>
  <si>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</si>
  <si>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</si>
  <si>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</si>
  <si>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</si>
  <si>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</si>
  <si>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</si>
  <si>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</si>
  <si>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</si>
  <si>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</si>
  <si>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</si>
  <si>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</si>
  <si>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</si>
  <si>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</si>
  <si>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</si>
  <si>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</si>
  <si>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</si>
  <si>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</si>
  <si>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</si>
  <si>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</si>
  <si>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</si>
  <si>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</si>
  <si>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</si>
  <si>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</si>
  <si>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</si>
  <si>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</si>
  <si>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</si>
  <si>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</si>
  <si>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</si>
  <si>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</si>
  <si>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</si>
  <si>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</si>
  <si>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</si>
  <si>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</si>
  <si>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</si>
  <si>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</si>
  <si>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</si>
  <si>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</si>
  <si>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</si>
  <si>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</si>
  <si>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</si>
  <si>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</si>
  <si>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</si>
  <si>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</si>
  <si>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</si>
  <si>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</si>
  <si>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</si>
  <si>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</si>
  <si>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</si>
  <si>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</si>
  <si>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</si>
  <si>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</si>
  <si>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</si>
  <si>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</si>
  <si>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</si>
  <si>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</si>
  <si>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</si>
  <si>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</si>
  <si>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</si>
  <si>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</si>
  <si>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</si>
  <si>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</si>
  <si>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</si>
  <si>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</si>
  <si>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</si>
  <si>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</si>
  <si>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</si>
  <si>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</si>
  <si>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</si>
  <si>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</si>
  <si>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</si>
  <si>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</si>
  <si>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</si>
  <si>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</si>
  <si>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</si>
  <si>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</si>
  <si>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</si>
  <si>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</si>
  <si>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</si>
  <si>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</si>
  <si>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</si>
  <si>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</si>
  <si>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</si>
  <si>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</si>
  <si>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</si>
  <si>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</si>
  <si>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</si>
  <si>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</si>
  <si>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</si>
  <si>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</si>
  <si>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</si>
  <si>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</si>
  <si>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</si>
  <si>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</si>
  <si>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</si>
  <si>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</si>
  <si>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</si>
  <si>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</si>
  <si>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</si>
  <si>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</si>
  <si>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</si>
  <si>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</si>
  <si>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</si>
  <si>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</si>
  <si>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</si>
  <si>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</si>
  <si>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</si>
  <si>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</si>
  <si>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</si>
  <si>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</si>
  <si>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</si>
  <si>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</si>
  <si>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</si>
  <si>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</si>
  <si>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</si>
  <si>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</si>
  <si>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</si>
  <si>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</si>
  <si>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</si>
  <si>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</si>
  <si>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</si>
  <si>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</si>
  <si>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</si>
  <si>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</si>
  <si>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</si>
  <si>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</si>
  <si>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</si>
  <si>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</si>
  <si>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</si>
  <si>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</si>
  <si>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</si>
  <si>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</si>
  <si>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</si>
  <si>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</si>
  <si>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</si>
  <si>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</si>
  <si>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</si>
  <si>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</si>
  <si>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</si>
  <si>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</si>
  <si>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USA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</si>
  <si>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</si>
  <si>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</si>
  <si>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</si>
  <si>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</si>
  <si>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</si>
  <si>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</si>
  <si>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</si>
  <si>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Argentia</t>
  </si>
  <si>
    <t>Friday, July 3, at 9:30 PM</t>
  </si>
  <si>
    <t>Round of 16</t>
  </si>
  <si>
    <t>Saturday, July 4, at 1:00 PM</t>
  </si>
  <si>
    <t>Saturday, July 4, at 5:00 PM</t>
  </si>
  <si>
    <t>Sunday, July 5, at 4:00 PM</t>
  </si>
  <si>
    <t>Sunday, July 5, at 8:00 PM</t>
  </si>
  <si>
    <t>Monday, July 6, at 3:00 PM</t>
  </si>
  <si>
    <t>Monday, July 6, at 8:00 PM</t>
  </si>
  <si>
    <t>Tuesday, July 7, at 12:00 PM</t>
  </si>
  <si>
    <t>Tuesday, July 7, at 4:00 PM</t>
  </si>
  <si>
    <t>Quarterfinals</t>
  </si>
  <si>
    <t>Thursday, July 9, at 4:00 PM</t>
  </si>
  <si>
    <t>Friday, July 10, at 3:00 PM</t>
  </si>
  <si>
    <t>Saturday, July 11, at 5:00 PM</t>
  </si>
  <si>
    <t>Saturday, July 11, at 9:00 PM</t>
  </si>
  <si>
    <t>Semifinals</t>
  </si>
  <si>
    <t>Tuesday, July 14, at 3:00 PM</t>
  </si>
  <si>
    <t>Wednesday, July 15, at 3:00 PM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</si>
  <si>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</si>
  <si>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</si>
  <si>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</si>
  <si>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</si>
  <si>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</si>
  <si>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</si>
  <si>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</si>
  <si>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</si>
  <si>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</si>
  <si>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</si>
  <si>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</si>
  <si>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</si>
  <si>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</si>
  <si>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</si>
  <si>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</si>
  <si>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</si>
  <si>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</si>
  <si>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</si>
  <si>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</si>
  <si>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</si>
  <si>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</si>
  <si>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</si>
  <si>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</si>
  <si>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</si>
  <si>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</si>
  <si>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</si>
  <si>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</si>
  <si>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</si>
  <si>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</si>
  <si>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</si>
  <si>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</si>
  <si>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</si>
  <si>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</si>
  <si>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</si>
  <si>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</si>
  <si>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</si>
  <si>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</si>
  <si>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</si>
  <si>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</si>
  <si>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</si>
  <si>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</si>
  <si>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</si>
  <si>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</si>
  <si>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</si>
  <si>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</si>
  <si>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</si>
  <si>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</si>
  <si>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</si>
  <si>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</si>
  <si>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</si>
  <si>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</si>
  <si>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</si>
  <si>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</si>
  <si>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</si>
  <si>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W77</t>
  </si>
  <si>
    <t>W78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</si>
</sst>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4" fillId="0" borderId="3" xfId="0" applyFont="1" applyBorder="1" applyAlignment="1">
      <alignment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164" fontId="2" fillId="0" borderId="6" xfId="0" applyNumberFormat="1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zoomScale="80" zoomScaleNormal="80" workbookViewId="0">
      <pane xSplit="11" ySplit="1" topLeftCell="L90" activePane="bottomRight" state="frozen"/>
      <selection pane="topRight" activeCell="L1" sqref="L1"/>
      <selection pane="bottomLeft" activeCell="A2" sqref="A2"/>
      <selection pane="bottomRight" activeCell="H93" sqref="H93:H94"/>
    </sheetView>
  </sheetViews>
  <sheetFormatPr defaultColWidth="6.54296875" defaultRowHeight="14.5" x14ac:dyDescent="0.35"/>
  <cols>
    <col min="1" max="1" width="21.54296875" style="6" bestFit="1" customWidth="1"/>
    <col min="2" max="2" width="7.1796875" style="6" customWidth="1"/>
    <col min="3" max="3" width="11.81640625" style="6" bestFit="1" customWidth="1"/>
    <col min="4" max="4" width="30.81640625" style="6" bestFit="1" customWidth="1"/>
    <col min="5" max="5" width="23.453125" style="10" bestFit="1" customWidth="1"/>
    <col min="6" max="6" width="6.81640625" style="6" bestFit="1" customWidth="1"/>
    <col min="7" max="8" width="12.179687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15.81640625" style="6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13.1796875" style="6" customWidth="1"/>
    <col min="18" max="18" width="12.453125" style="6" bestFit="1" customWidth="1"/>
    <col min="19" max="19" width="9" style="6" bestFit="1" customWidth="1"/>
    <col min="20" max="20" width="11.54296875" style="6" customWidth="1"/>
    <col min="21" max="21" width="9.453125" style="6" bestFit="1" customWidth="1"/>
    <col min="22" max="22" width="15" style="6" customWidth="1"/>
    <col min="23" max="23" width="9.453125" style="6" bestFit="1" customWidth="1"/>
    <col min="24" max="24" width="12.1796875" style="6" bestFit="1" customWidth="1"/>
    <col min="25" max="25" width="9.453125" style="6" bestFit="1" customWidth="1"/>
    <col min="26" max="26" width="14" style="6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11.7265625" style="6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2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3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4" t="s">
        <v>51</v>
      </c>
      <c r="AU2" s="6" t="str">
        <f>AS2</f>
        <v>Matched</v>
      </c>
      <c r="AV2" s="15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2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6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3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4" t="s">
        <v>56</v>
      </c>
      <c r="AU3" s="6" t="str">
        <f t="shared" ref="AU3:AU66" si="17">IF(ISBLANK(K3),"TBP",IF(AT3=K3,"Matched","No Match"))</f>
        <v>Matched</v>
      </c>
      <c r="AV3" s="15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3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4" t="s">
        <v>64</v>
      </c>
      <c r="AU4" s="6" t="str">
        <f t="shared" si="17"/>
        <v>No Match</v>
      </c>
      <c r="AV4" s="15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3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4" t="s">
        <v>71</v>
      </c>
      <c r="AU5" s="6" t="str">
        <f t="shared" si="17"/>
        <v>Matched</v>
      </c>
      <c r="AV5" s="15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7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3" t="s">
        <v>77</v>
      </c>
      <c r="AK6" s="6" t="str">
        <f t="shared" si="12"/>
        <v>No Match</v>
      </c>
      <c r="AL6" s="13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4" t="s">
        <v>77</v>
      </c>
      <c r="AU6" s="6" t="str">
        <f t="shared" si="17"/>
        <v>No Match</v>
      </c>
      <c r="AV6" s="15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3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4" t="s">
        <v>79</v>
      </c>
      <c r="AU7" s="6" t="str">
        <f t="shared" si="17"/>
        <v>No Match</v>
      </c>
      <c r="AV7" s="15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3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4" t="s">
        <v>87</v>
      </c>
      <c r="AU8" s="6" t="str">
        <f t="shared" si="17"/>
        <v>Matched</v>
      </c>
      <c r="AV8" s="15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6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3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4" t="s">
        <v>93</v>
      </c>
      <c r="AU9" s="6" t="str">
        <f t="shared" si="17"/>
        <v>No Match</v>
      </c>
      <c r="AV9" s="15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2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3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4" t="s">
        <v>99</v>
      </c>
      <c r="AU10" s="6" t="str">
        <f t="shared" si="17"/>
        <v>Matched</v>
      </c>
      <c r="AV10" s="15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2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6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3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4" t="s">
        <v>89</v>
      </c>
      <c r="AU11" s="6" t="str">
        <f t="shared" si="17"/>
        <v>No Match</v>
      </c>
      <c r="AV11" s="15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2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3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4" t="s">
        <v>109</v>
      </c>
      <c r="AU12" s="6" t="str">
        <f t="shared" si="17"/>
        <v>No Match</v>
      </c>
      <c r="AV12" s="15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2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3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4" t="s">
        <v>113</v>
      </c>
      <c r="AU13" s="6" t="str">
        <f t="shared" si="17"/>
        <v>Matched</v>
      </c>
      <c r="AV13" s="15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2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3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4" t="s">
        <v>54</v>
      </c>
      <c r="AU14" s="6" t="str">
        <f t="shared" si="17"/>
        <v>No Match</v>
      </c>
      <c r="AV14" s="15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2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3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4" t="s">
        <v>96</v>
      </c>
      <c r="AU15" s="6" t="str">
        <f t="shared" si="17"/>
        <v>No Match</v>
      </c>
      <c r="AV15" s="15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2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3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4" t="s">
        <v>127</v>
      </c>
      <c r="AU16" s="6" t="str">
        <f t="shared" si="17"/>
        <v>No Match</v>
      </c>
      <c r="AV16" s="15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2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3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4" t="s">
        <v>130</v>
      </c>
      <c r="AU17" s="6" t="str">
        <f t="shared" si="17"/>
        <v>No Match</v>
      </c>
      <c r="AV17" s="15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2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3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4" t="s">
        <v>60</v>
      </c>
      <c r="AU18" s="6" t="str">
        <f t="shared" si="17"/>
        <v>Matched</v>
      </c>
      <c r="AV18" s="15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2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3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4" t="s">
        <v>136</v>
      </c>
      <c r="AU19" s="6" t="str">
        <f t="shared" si="17"/>
        <v>Matched</v>
      </c>
      <c r="AV19" s="15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3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4" t="s">
        <v>48</v>
      </c>
      <c r="AU20" s="6" t="str">
        <f t="shared" si="17"/>
        <v>Matched</v>
      </c>
      <c r="AV20" s="15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3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4" t="s">
        <v>142</v>
      </c>
      <c r="AU21" s="6" t="str">
        <f t="shared" si="17"/>
        <v>Matched</v>
      </c>
      <c r="AV21" s="15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2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3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4" t="s">
        <v>74</v>
      </c>
      <c r="AU22" s="6" t="str">
        <f t="shared" si="17"/>
        <v>No Match</v>
      </c>
      <c r="AV22" s="15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2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3" t="s">
        <v>67</v>
      </c>
      <c r="AK23" s="6" t="str">
        <f t="shared" si="12"/>
        <v>Matched</v>
      </c>
      <c r="AL23" s="13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4" t="s">
        <v>67</v>
      </c>
      <c r="AU23" s="6" t="str">
        <f t="shared" si="17"/>
        <v>Matched</v>
      </c>
      <c r="AV23" s="15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2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3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4" t="s">
        <v>151</v>
      </c>
      <c r="AU24" s="6" t="str">
        <f t="shared" si="17"/>
        <v>Matched</v>
      </c>
      <c r="AV24" s="15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2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3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4" t="s">
        <v>111</v>
      </c>
      <c r="AU25" s="6" t="str">
        <f t="shared" si="17"/>
        <v>Matched</v>
      </c>
      <c r="AV25" s="15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2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7" t="s">
        <v>57</v>
      </c>
      <c r="AC26" s="6" t="str">
        <f t="shared" si="8"/>
        <v>No Match</v>
      </c>
      <c r="AD26" s="17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3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4" t="s">
        <v>57</v>
      </c>
      <c r="AU26" s="6" t="str">
        <f t="shared" si="17"/>
        <v>No Match</v>
      </c>
      <c r="AV26" s="15" t="s">
        <v>57</v>
      </c>
      <c r="AW26" s="6" t="str">
        <f t="shared" si="18"/>
        <v>No Match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2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3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4" t="s">
        <v>77</v>
      </c>
      <c r="AU27" s="6" t="str">
        <f t="shared" si="17"/>
        <v>Matched</v>
      </c>
      <c r="AV27" s="15" t="s">
        <v>77</v>
      </c>
      <c r="AW27" s="6" t="str">
        <f t="shared" si="18"/>
        <v>Matched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2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3" t="s">
        <v>64</v>
      </c>
      <c r="AK28" s="6" t="str">
        <f t="shared" si="12"/>
        <v>Matched</v>
      </c>
      <c r="AL28" s="13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4" t="s">
        <v>64</v>
      </c>
      <c r="AU28" s="6" t="str">
        <f t="shared" si="17"/>
        <v>Matched</v>
      </c>
      <c r="AV28" s="15" t="s">
        <v>64</v>
      </c>
      <c r="AW28" s="6" t="str">
        <f t="shared" si="18"/>
        <v>Matched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2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3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4" t="s">
        <v>51</v>
      </c>
      <c r="AU29" s="6" t="str">
        <f t="shared" si="17"/>
        <v>Matched</v>
      </c>
      <c r="AV29" s="15" t="s">
        <v>51</v>
      </c>
      <c r="AW29" s="6" t="str">
        <f t="shared" si="18"/>
        <v>Matched</v>
      </c>
    </row>
    <row r="30" spans="1:49" ht="26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2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3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4" t="s">
        <v>71</v>
      </c>
      <c r="AU30" s="6" t="str">
        <f t="shared" si="17"/>
        <v>Matched</v>
      </c>
      <c r="AV30" s="15" t="s">
        <v>71</v>
      </c>
      <c r="AW30" s="6" t="str">
        <f t="shared" si="18"/>
        <v>Matched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2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3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4" t="s">
        <v>83</v>
      </c>
      <c r="AU31" s="6" t="str">
        <f t="shared" si="17"/>
        <v>Matched</v>
      </c>
      <c r="AV31" s="15" t="s">
        <v>83</v>
      </c>
      <c r="AW31" s="6" t="str">
        <f t="shared" si="18"/>
        <v>Matched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2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3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4" t="s">
        <v>79</v>
      </c>
      <c r="AU32" s="6" t="str">
        <f t="shared" si="17"/>
        <v>Matched</v>
      </c>
      <c r="AV32" s="15" t="s">
        <v>79</v>
      </c>
      <c r="AW32" s="6" t="str">
        <f t="shared" si="18"/>
        <v>Matched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2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6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7" t="s">
        <v>93</v>
      </c>
      <c r="AC33" s="6" t="str">
        <f t="shared" si="8"/>
        <v>No Match</v>
      </c>
      <c r="AD33" s="17" t="s">
        <v>93</v>
      </c>
      <c r="AE33" s="6" t="str">
        <f t="shared" si="9"/>
        <v>No Match</v>
      </c>
      <c r="AF33" s="17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3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4" t="s">
        <v>93</v>
      </c>
      <c r="AU33" s="6" t="str">
        <f t="shared" si="17"/>
        <v>No Match</v>
      </c>
      <c r="AV33" s="15" t="s">
        <v>93</v>
      </c>
      <c r="AW33" s="6" t="str">
        <f t="shared" si="18"/>
        <v>No Match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2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3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4" t="s">
        <v>89</v>
      </c>
      <c r="AU34" s="6" t="str">
        <f t="shared" si="17"/>
        <v>Matched</v>
      </c>
      <c r="AV34" s="15" t="s">
        <v>89</v>
      </c>
      <c r="AW34" s="6" t="str">
        <f t="shared" si="18"/>
        <v>Matched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2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3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4" t="s">
        <v>99</v>
      </c>
      <c r="AU35" s="6" t="str">
        <f t="shared" si="17"/>
        <v>Matched</v>
      </c>
      <c r="AV35" s="15" t="s">
        <v>99</v>
      </c>
      <c r="AW35" s="6" t="str">
        <f t="shared" si="18"/>
        <v>Matched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2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7" t="s">
        <v>109</v>
      </c>
      <c r="AC36" s="6" t="str">
        <f t="shared" si="8"/>
        <v>No Match</v>
      </c>
      <c r="AD36" s="17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3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4" t="s">
        <v>109</v>
      </c>
      <c r="AU36" s="6" t="str">
        <f t="shared" si="17"/>
        <v>No Match</v>
      </c>
      <c r="AV36" s="15" t="s">
        <v>109</v>
      </c>
      <c r="AW36" s="6" t="str">
        <f t="shared" si="18"/>
        <v>No Match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2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3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4" t="s">
        <v>104</v>
      </c>
      <c r="AU37" s="6" t="str">
        <f t="shared" si="17"/>
        <v>Matched</v>
      </c>
      <c r="AV37" s="15" t="s">
        <v>104</v>
      </c>
      <c r="AW37" s="6" t="str">
        <f t="shared" si="18"/>
        <v>Matched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2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3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4" t="s">
        <v>54</v>
      </c>
      <c r="AU38" s="6" t="str">
        <f t="shared" si="17"/>
        <v>Matched</v>
      </c>
      <c r="AV38" s="15" t="s">
        <v>54</v>
      </c>
      <c r="AW38" s="6" t="str">
        <f t="shared" si="18"/>
        <v>Matched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2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3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4" t="s">
        <v>96</v>
      </c>
      <c r="AU39" s="6" t="str">
        <f t="shared" si="17"/>
        <v>No Match</v>
      </c>
      <c r="AV39" s="15" t="s">
        <v>96</v>
      </c>
      <c r="AW39" s="6" t="str">
        <f t="shared" si="18"/>
        <v>No Match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2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3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4" t="s">
        <v>127</v>
      </c>
      <c r="AU40" s="6" t="str">
        <f t="shared" si="17"/>
        <v>No Match</v>
      </c>
      <c r="AV40" s="15" t="s">
        <v>127</v>
      </c>
      <c r="AW40" s="6" t="str">
        <f t="shared" si="18"/>
        <v>No Match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2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3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4" t="s">
        <v>123</v>
      </c>
      <c r="AU41" s="6" t="str">
        <f t="shared" si="17"/>
        <v>Matched</v>
      </c>
      <c r="AV41" s="15" t="s">
        <v>131</v>
      </c>
      <c r="AW41" s="6" t="str">
        <f t="shared" si="18"/>
        <v>No Match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2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3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4" t="s">
        <v>48</v>
      </c>
      <c r="AU42" s="6" t="str">
        <f t="shared" si="17"/>
        <v>Matched</v>
      </c>
      <c r="AV42" s="15" t="s">
        <v>48</v>
      </c>
      <c r="AW42" s="6" t="str">
        <f t="shared" si="18"/>
        <v>Matched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2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3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4" t="s">
        <v>60</v>
      </c>
      <c r="AU43" s="6" t="str">
        <f t="shared" si="17"/>
        <v>Matched</v>
      </c>
      <c r="AV43" s="15" t="s">
        <v>60</v>
      </c>
      <c r="AW43" s="6" t="str">
        <f t="shared" si="18"/>
        <v>Matched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2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3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4" t="s">
        <v>120</v>
      </c>
      <c r="AU44" s="6" t="str">
        <f t="shared" si="17"/>
        <v>No Match</v>
      </c>
      <c r="AV44" s="15" t="s">
        <v>120</v>
      </c>
      <c r="AW44" s="6" t="str">
        <f t="shared" si="18"/>
        <v>No Match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2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3" t="s">
        <v>139</v>
      </c>
      <c r="AK45" s="6" t="str">
        <f t="shared" si="12"/>
        <v>Matched</v>
      </c>
      <c r="AL45" s="13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4" t="s">
        <v>139</v>
      </c>
      <c r="AU45" s="6" t="str">
        <f t="shared" si="17"/>
        <v>Matched</v>
      </c>
      <c r="AV45" s="15" t="s">
        <v>139</v>
      </c>
      <c r="AW45" s="6" t="str">
        <f t="shared" si="18"/>
        <v>Matched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2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3" t="s">
        <v>74</v>
      </c>
      <c r="AK46" s="6" t="str">
        <f t="shared" si="12"/>
        <v>Matched</v>
      </c>
      <c r="AL46" s="13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4" t="s">
        <v>74</v>
      </c>
      <c r="AU46" s="6" t="str">
        <f t="shared" si="17"/>
        <v>Matched</v>
      </c>
      <c r="AV46" s="15" t="s">
        <v>74</v>
      </c>
      <c r="AW46" s="6" t="str">
        <f t="shared" si="18"/>
        <v>Matched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2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3" t="s">
        <v>67</v>
      </c>
      <c r="AK47" s="6" t="str">
        <f t="shared" si="12"/>
        <v>No Match</v>
      </c>
      <c r="AL47" s="13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4" t="s">
        <v>67</v>
      </c>
      <c r="AU47" s="6" t="str">
        <f t="shared" si="17"/>
        <v>No Match</v>
      </c>
      <c r="AV47" s="15" t="s">
        <v>67</v>
      </c>
      <c r="AW47" s="6" t="str">
        <f t="shared" si="18"/>
        <v>No Match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2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3" t="s">
        <v>106</v>
      </c>
      <c r="AK48" s="6" t="str">
        <f t="shared" si="12"/>
        <v>Matched</v>
      </c>
      <c r="AL48" s="13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4" t="s">
        <v>106</v>
      </c>
      <c r="AU48" s="6" t="str">
        <f t="shared" si="17"/>
        <v>Matched</v>
      </c>
      <c r="AV48" s="15" t="s">
        <v>106</v>
      </c>
      <c r="AW48" s="6" t="str">
        <f t="shared" si="18"/>
        <v>Matched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2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3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4" t="s">
        <v>111</v>
      </c>
      <c r="AU49" s="6" t="str">
        <f t="shared" si="17"/>
        <v>Matched</v>
      </c>
      <c r="AV49" s="15" t="s">
        <v>111</v>
      </c>
      <c r="AW49" s="6" t="str">
        <f t="shared" si="18"/>
        <v>Matched</v>
      </c>
    </row>
    <row r="50" spans="1:49" x14ac:dyDescent="0.35">
      <c r="C50" s="1" t="s">
        <v>61</v>
      </c>
      <c r="D50" s="1" t="s">
        <v>182</v>
      </c>
      <c r="E50" s="10">
        <v>46198</v>
      </c>
      <c r="F50" s="12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3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4" t="s">
        <v>77</v>
      </c>
      <c r="AU50" s="6" t="str">
        <f t="shared" si="17"/>
        <v>Matched</v>
      </c>
      <c r="AV50" s="15" t="s">
        <v>77</v>
      </c>
      <c r="AW50" s="6" t="str">
        <f t="shared" si="18"/>
        <v>Matched</v>
      </c>
    </row>
    <row r="51" spans="1:49" ht="29" x14ac:dyDescent="0.35">
      <c r="C51" s="1" t="s">
        <v>61</v>
      </c>
      <c r="D51" s="1" t="s">
        <v>182</v>
      </c>
      <c r="E51" s="10">
        <v>46198</v>
      </c>
      <c r="F51" s="12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8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3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4" t="s">
        <v>65</v>
      </c>
      <c r="AS51" s="6" t="str">
        <f t="shared" si="16"/>
        <v>Matched</v>
      </c>
      <c r="AT51" s="14" t="s">
        <v>65</v>
      </c>
      <c r="AU51" s="6" t="str">
        <f t="shared" si="17"/>
        <v>Matched</v>
      </c>
      <c r="AV51" s="15" t="s">
        <v>76</v>
      </c>
      <c r="AW51" s="6" t="str">
        <f t="shared" si="18"/>
        <v>No Match</v>
      </c>
    </row>
    <row r="52" spans="1:49" x14ac:dyDescent="0.35">
      <c r="C52" s="1" t="s">
        <v>80</v>
      </c>
      <c r="D52" s="1" t="s">
        <v>183</v>
      </c>
      <c r="E52" s="10">
        <v>46198</v>
      </c>
      <c r="F52" s="12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3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4" t="s">
        <v>79</v>
      </c>
      <c r="AU52" s="6" t="str">
        <f t="shared" si="17"/>
        <v>Matched</v>
      </c>
      <c r="AV52" s="15" t="s">
        <v>79</v>
      </c>
      <c r="AW52" s="6" t="str">
        <f t="shared" si="18"/>
        <v>Matched</v>
      </c>
    </row>
    <row r="53" spans="1:49" x14ac:dyDescent="0.35">
      <c r="C53" s="1" t="s">
        <v>80</v>
      </c>
      <c r="D53" s="1" t="s">
        <v>183</v>
      </c>
      <c r="E53" s="10">
        <v>46198</v>
      </c>
      <c r="F53" s="12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3" t="s">
        <v>83</v>
      </c>
      <c r="AK53" s="6" t="str">
        <f t="shared" si="12"/>
        <v>Matched</v>
      </c>
      <c r="AL53" s="13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4" t="s">
        <v>83</v>
      </c>
      <c r="AU53" s="6" t="str">
        <f t="shared" si="17"/>
        <v>Matched</v>
      </c>
      <c r="AV53" s="15" t="s">
        <v>83</v>
      </c>
      <c r="AW53" s="6" t="str">
        <f t="shared" si="18"/>
        <v>Matched</v>
      </c>
    </row>
    <row r="54" spans="1:49" x14ac:dyDescent="0.35">
      <c r="C54" s="1" t="s">
        <v>49</v>
      </c>
      <c r="D54" s="1" t="s">
        <v>184</v>
      </c>
      <c r="E54" s="10">
        <v>46198</v>
      </c>
      <c r="F54" s="12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3" t="s">
        <v>51</v>
      </c>
      <c r="AK54" s="6" t="str">
        <f t="shared" si="12"/>
        <v>Matched</v>
      </c>
      <c r="AL54" s="13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4" t="s">
        <v>51</v>
      </c>
      <c r="AU54" s="6" t="str">
        <f t="shared" si="17"/>
        <v>Matched</v>
      </c>
      <c r="AV54" s="15" t="s">
        <v>51</v>
      </c>
      <c r="AW54" s="6" t="str">
        <f t="shared" si="18"/>
        <v>Matched</v>
      </c>
    </row>
    <row r="55" spans="1:49" x14ac:dyDescent="0.35">
      <c r="C55" s="1" t="s">
        <v>49</v>
      </c>
      <c r="D55" s="1" t="s">
        <v>184</v>
      </c>
      <c r="E55" s="10">
        <v>46198</v>
      </c>
      <c r="F55" s="12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7" t="s">
        <v>52</v>
      </c>
      <c r="AC55" s="6" t="str">
        <f t="shared" si="8"/>
        <v>Matched</v>
      </c>
      <c r="AD55" s="17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3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4" t="s">
        <v>56</v>
      </c>
      <c r="AU55" s="6" t="str">
        <f t="shared" si="17"/>
        <v>No Match</v>
      </c>
      <c r="AV55" s="15" t="s">
        <v>56</v>
      </c>
      <c r="AW55" s="6" t="str">
        <f t="shared" si="18"/>
        <v>No Match</v>
      </c>
    </row>
    <row r="56" spans="1:49" x14ac:dyDescent="0.35">
      <c r="C56" s="1" t="s">
        <v>97</v>
      </c>
      <c r="D56" s="1" t="s">
        <v>185</v>
      </c>
      <c r="E56" s="10">
        <v>46199</v>
      </c>
      <c r="F56" s="12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3" t="s">
        <v>108</v>
      </c>
      <c r="AK56" s="6" t="str">
        <f t="shared" si="12"/>
        <v>Matched</v>
      </c>
      <c r="AL56" s="13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4" t="s">
        <v>108</v>
      </c>
      <c r="AU56" s="6" t="str">
        <f t="shared" si="17"/>
        <v>Matched</v>
      </c>
      <c r="AV56" s="15" t="s">
        <v>108</v>
      </c>
      <c r="AW56" s="6" t="str">
        <f t="shared" si="18"/>
        <v>Matched</v>
      </c>
    </row>
    <row r="57" spans="1:49" x14ac:dyDescent="0.35">
      <c r="C57" s="1" t="s">
        <v>97</v>
      </c>
      <c r="D57" s="1" t="s">
        <v>185</v>
      </c>
      <c r="E57" s="10">
        <v>46199</v>
      </c>
      <c r="F57" s="12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3" t="s">
        <v>99</v>
      </c>
      <c r="AK57" s="6" t="str">
        <f t="shared" si="12"/>
        <v>No Match</v>
      </c>
      <c r="AL57" s="13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4" t="s">
        <v>99</v>
      </c>
      <c r="AU57" s="6" t="str">
        <f t="shared" si="17"/>
        <v>No Match</v>
      </c>
      <c r="AV57" s="15" t="s">
        <v>99</v>
      </c>
      <c r="AW57" s="6" t="str">
        <f t="shared" si="18"/>
        <v>No Match</v>
      </c>
    </row>
    <row r="58" spans="1:49" x14ac:dyDescent="0.35">
      <c r="C58" s="1" t="s">
        <v>102</v>
      </c>
      <c r="D58" s="1" t="s">
        <v>186</v>
      </c>
      <c r="E58" s="10">
        <v>46199</v>
      </c>
      <c r="F58" s="12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3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4" t="s">
        <v>104</v>
      </c>
      <c r="AU58" s="6" t="str">
        <f t="shared" si="17"/>
        <v>No Match</v>
      </c>
      <c r="AV58" s="15" t="s">
        <v>104</v>
      </c>
      <c r="AW58" s="6" t="str">
        <f t="shared" si="18"/>
        <v>No Match</v>
      </c>
    </row>
    <row r="59" spans="1:49" x14ac:dyDescent="0.35">
      <c r="C59" s="1" t="s">
        <v>102</v>
      </c>
      <c r="D59" s="1" t="s">
        <v>186</v>
      </c>
      <c r="E59" s="10">
        <v>46199</v>
      </c>
      <c r="F59" s="12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3" t="s">
        <v>89</v>
      </c>
      <c r="AK59" s="6" t="str">
        <f t="shared" si="12"/>
        <v>Matched</v>
      </c>
      <c r="AL59" s="13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4" t="s">
        <v>89</v>
      </c>
      <c r="AU59" s="6" t="str">
        <f t="shared" si="17"/>
        <v>Matched</v>
      </c>
      <c r="AV59" s="15" t="s">
        <v>89</v>
      </c>
      <c r="AW59" s="6" t="str">
        <f t="shared" si="18"/>
        <v>Matched</v>
      </c>
    </row>
    <row r="60" spans="1:49" x14ac:dyDescent="0.35">
      <c r="C60" s="1" t="s">
        <v>68</v>
      </c>
      <c r="D60" s="1" t="s">
        <v>187</v>
      </c>
      <c r="E60" s="10">
        <v>46199</v>
      </c>
      <c r="F60" s="12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3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4" t="s">
        <v>71</v>
      </c>
      <c r="AU60" s="6" t="str">
        <f t="shared" si="17"/>
        <v>No Match</v>
      </c>
      <c r="AV60" s="15" t="s">
        <v>71</v>
      </c>
      <c r="AW60" s="6" t="str">
        <f t="shared" si="18"/>
        <v>No Match</v>
      </c>
    </row>
    <row r="61" spans="1:49" x14ac:dyDescent="0.35">
      <c r="C61" s="1" t="s">
        <v>68</v>
      </c>
      <c r="D61" s="1" t="s">
        <v>187</v>
      </c>
      <c r="E61" s="10">
        <v>46199</v>
      </c>
      <c r="F61" s="12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3" t="s">
        <v>92</v>
      </c>
      <c r="AK61" s="6" t="str">
        <f t="shared" si="12"/>
        <v>No Match</v>
      </c>
      <c r="AL61" s="13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4" t="s">
        <v>92</v>
      </c>
      <c r="AU61" s="6" t="str">
        <f t="shared" si="17"/>
        <v>No Match</v>
      </c>
      <c r="AV61" s="15" t="s">
        <v>92</v>
      </c>
      <c r="AW61" s="6" t="str">
        <f t="shared" si="18"/>
        <v>No Match</v>
      </c>
    </row>
    <row r="62" spans="1:49" x14ac:dyDescent="0.35">
      <c r="C62" s="1" t="s">
        <v>132</v>
      </c>
      <c r="D62" s="1" t="s">
        <v>189</v>
      </c>
      <c r="E62" s="10">
        <v>46200</v>
      </c>
      <c r="F62" s="12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3" t="s">
        <v>60</v>
      </c>
      <c r="AK62" s="6" t="str">
        <f t="shared" si="12"/>
        <v>Matched</v>
      </c>
      <c r="AL62" s="13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4" t="s">
        <v>60</v>
      </c>
      <c r="AU62" s="6" t="str">
        <f t="shared" si="17"/>
        <v>Matched</v>
      </c>
      <c r="AV62" s="15" t="s">
        <v>60</v>
      </c>
      <c r="AW62" s="6" t="str">
        <f t="shared" si="18"/>
        <v>Matched</v>
      </c>
    </row>
    <row r="63" spans="1:49" x14ac:dyDescent="0.35">
      <c r="C63" s="1" t="s">
        <v>132</v>
      </c>
      <c r="D63" s="1" t="s">
        <v>189</v>
      </c>
      <c r="E63" s="10">
        <v>46200</v>
      </c>
      <c r="F63" s="12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3" t="s">
        <v>120</v>
      </c>
      <c r="AK63" s="6" t="str">
        <f t="shared" si="12"/>
        <v>Matched</v>
      </c>
      <c r="AL63" s="13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4" t="s">
        <v>120</v>
      </c>
      <c r="AU63" s="6" t="str">
        <f t="shared" si="17"/>
        <v>Matched</v>
      </c>
      <c r="AV63" s="15" t="s">
        <v>120</v>
      </c>
      <c r="AW63" s="6" t="str">
        <f t="shared" si="18"/>
        <v>Matched</v>
      </c>
    </row>
    <row r="64" spans="1:49" x14ac:dyDescent="0.35">
      <c r="C64" s="1" t="s">
        <v>116</v>
      </c>
      <c r="D64" s="1" t="s">
        <v>192</v>
      </c>
      <c r="E64" s="10">
        <v>46200</v>
      </c>
      <c r="F64" s="12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3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4" t="s">
        <v>126</v>
      </c>
      <c r="AU64" s="6" t="str">
        <f t="shared" si="17"/>
        <v>No Match</v>
      </c>
      <c r="AV64" s="15" t="s">
        <v>126</v>
      </c>
      <c r="AW64" s="6" t="str">
        <f t="shared" si="18"/>
        <v>No Match</v>
      </c>
    </row>
    <row r="65" spans="3:49" x14ac:dyDescent="0.35">
      <c r="C65" s="1" t="s">
        <v>116</v>
      </c>
      <c r="D65" s="1" t="s">
        <v>192</v>
      </c>
      <c r="E65" s="10">
        <v>46200</v>
      </c>
      <c r="F65" s="12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3" t="s">
        <v>54</v>
      </c>
      <c r="AK65" s="6" t="str">
        <f t="shared" si="12"/>
        <v>Matched</v>
      </c>
      <c r="AL65" s="13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4" t="s">
        <v>54</v>
      </c>
      <c r="AU65" s="6" t="str">
        <f t="shared" si="17"/>
        <v>Matched</v>
      </c>
      <c r="AV65" s="15" t="s">
        <v>54</v>
      </c>
      <c r="AW65" s="6" t="str">
        <f t="shared" si="18"/>
        <v>Matched</v>
      </c>
    </row>
    <row r="66" spans="3:49" x14ac:dyDescent="0.35">
      <c r="C66" s="1" t="s">
        <v>121</v>
      </c>
      <c r="D66" s="1" t="s">
        <v>193</v>
      </c>
      <c r="E66" s="10">
        <v>46200</v>
      </c>
      <c r="F66" s="12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3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4" t="s">
        <v>123</v>
      </c>
      <c r="AU66" s="6" t="str">
        <f t="shared" si="17"/>
        <v>No Match</v>
      </c>
      <c r="AV66" s="15" t="s">
        <v>130</v>
      </c>
      <c r="AW66" s="6" t="str">
        <f t="shared" si="18"/>
        <v>No Match</v>
      </c>
    </row>
    <row r="67" spans="3:49" x14ac:dyDescent="0.35">
      <c r="C67" s="1" t="s">
        <v>121</v>
      </c>
      <c r="D67" s="1" t="s">
        <v>193</v>
      </c>
      <c r="E67" s="10">
        <v>46200</v>
      </c>
      <c r="F67" s="12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3" t="s">
        <v>96</v>
      </c>
      <c r="AK67" s="6" t="str">
        <f t="shared" ref="AK67:AK73" si="31">IF(ISBLANK(K67),"TBP",IF(AJ67=K67,"Matched","No Match"))</f>
        <v>Matched</v>
      </c>
      <c r="AL67" s="13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4" t="s">
        <v>96</v>
      </c>
      <c r="AU67" s="6" t="str">
        <f t="shared" ref="AU67:AU73" si="36">IF(ISBLANK(K67),"TBP",IF(AT67=K67,"Matched","No Match"))</f>
        <v>Matched</v>
      </c>
      <c r="AV67" s="15" t="s">
        <v>96</v>
      </c>
      <c r="AW67" s="6" t="str">
        <f t="shared" ref="AW67:AW73" si="37">IF(ISBLANK(K67),"TBP",IF(AV67=K67,"Matched","No Match"))</f>
        <v>Matched</v>
      </c>
    </row>
    <row r="68" spans="3:49" x14ac:dyDescent="0.35">
      <c r="C68" s="1" t="s">
        <v>148</v>
      </c>
      <c r="D68" s="1" t="s">
        <v>194</v>
      </c>
      <c r="E68" s="10">
        <v>46201</v>
      </c>
      <c r="F68" s="12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3" t="s">
        <v>67</v>
      </c>
      <c r="AK68" s="6" t="str">
        <f t="shared" si="31"/>
        <v>Matched</v>
      </c>
      <c r="AL68" s="13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4" t="s">
        <v>67</v>
      </c>
      <c r="AU68" s="6" t="str">
        <f t="shared" si="36"/>
        <v>Matched</v>
      </c>
      <c r="AV68" s="15" t="s">
        <v>67</v>
      </c>
      <c r="AW68" s="6" t="str">
        <f t="shared" si="37"/>
        <v>Matched</v>
      </c>
    </row>
    <row r="69" spans="3:49" x14ac:dyDescent="0.35">
      <c r="C69" s="1" t="s">
        <v>148</v>
      </c>
      <c r="D69" s="1" t="s">
        <v>194</v>
      </c>
      <c r="E69" s="10">
        <v>46201</v>
      </c>
      <c r="F69" s="12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3" t="s">
        <v>106</v>
      </c>
      <c r="AK69" s="6" t="str">
        <f t="shared" si="31"/>
        <v>Matched</v>
      </c>
      <c r="AL69" s="13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4" t="s">
        <v>106</v>
      </c>
      <c r="AU69" s="6" t="str">
        <f t="shared" si="36"/>
        <v>Matched</v>
      </c>
      <c r="AV69" s="15" t="s">
        <v>106</v>
      </c>
      <c r="AW69" s="6" t="str">
        <f t="shared" si="37"/>
        <v>Matched</v>
      </c>
    </row>
    <row r="70" spans="3:49" x14ac:dyDescent="0.35">
      <c r="C70" s="1" t="s">
        <v>144</v>
      </c>
      <c r="D70" s="1" t="s">
        <v>195</v>
      </c>
      <c r="E70" s="10">
        <v>46201</v>
      </c>
      <c r="F70" s="12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3" t="s">
        <v>74</v>
      </c>
      <c r="AK70" s="6" t="str">
        <f t="shared" si="31"/>
        <v>No Match</v>
      </c>
      <c r="AL70" s="13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4" t="s">
        <v>74</v>
      </c>
      <c r="AU70" s="6" t="str">
        <f t="shared" si="36"/>
        <v>No Match</v>
      </c>
      <c r="AV70" s="15" t="s">
        <v>74</v>
      </c>
      <c r="AW70" s="6" t="str">
        <f t="shared" si="37"/>
        <v>No Match</v>
      </c>
    </row>
    <row r="71" spans="3:49" x14ac:dyDescent="0.35">
      <c r="C71" s="1" t="s">
        <v>144</v>
      </c>
      <c r="D71" s="1" t="s">
        <v>195</v>
      </c>
      <c r="E71" s="10">
        <v>46201</v>
      </c>
      <c r="F71" s="12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3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4" t="s">
        <v>59</v>
      </c>
      <c r="AU71" s="6" t="str">
        <f t="shared" si="36"/>
        <v>No Match</v>
      </c>
      <c r="AV71" s="15" t="s">
        <v>146</v>
      </c>
      <c r="AW71" s="6" t="str">
        <f t="shared" si="37"/>
        <v>Matched</v>
      </c>
    </row>
    <row r="72" spans="3:49" x14ac:dyDescent="0.3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3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4" t="s">
        <v>142</v>
      </c>
      <c r="AU72" s="6" t="str">
        <f t="shared" si="36"/>
        <v>No Match</v>
      </c>
      <c r="AV72" s="15" t="s">
        <v>142</v>
      </c>
      <c r="AW72" s="6" t="str">
        <f t="shared" si="37"/>
        <v>No Match</v>
      </c>
    </row>
    <row r="73" spans="3:49" x14ac:dyDescent="0.3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3" t="s">
        <v>48</v>
      </c>
      <c r="AK73" s="6" t="str">
        <f t="shared" si="31"/>
        <v>Matched</v>
      </c>
      <c r="AL73" s="13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4" t="s">
        <v>48</v>
      </c>
      <c r="AU73" s="6" t="str">
        <f t="shared" si="36"/>
        <v>Matched</v>
      </c>
      <c r="AV73" s="15" t="s">
        <v>48</v>
      </c>
      <c r="AW73" s="6" t="str">
        <f t="shared" si="37"/>
        <v>Matched</v>
      </c>
    </row>
    <row r="74" spans="3:49" x14ac:dyDescent="0.35">
      <c r="C74" s="3" t="s">
        <v>198</v>
      </c>
      <c r="D74" s="4"/>
      <c r="E74" s="22"/>
      <c r="F74" s="23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35">
      <c r="C75" s="1" t="s">
        <v>199</v>
      </c>
      <c r="D75" s="21" t="s">
        <v>200</v>
      </c>
      <c r="E75" s="19" t="s">
        <v>201</v>
      </c>
      <c r="F75" s="20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6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 x14ac:dyDescent="0.35">
      <c r="C76" s="1" t="s">
        <v>199</v>
      </c>
      <c r="D76" s="21" t="s">
        <v>203</v>
      </c>
      <c r="E76" s="19" t="s">
        <v>204</v>
      </c>
      <c r="F76" s="20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W76" s="6" t="s">
        <v>79</v>
      </c>
    </row>
    <row r="77" spans="3:49" x14ac:dyDescent="0.35">
      <c r="C77" s="1" t="s">
        <v>199</v>
      </c>
      <c r="D77" s="21" t="s">
        <v>205</v>
      </c>
      <c r="E77" s="19" t="s">
        <v>204</v>
      </c>
      <c r="F77" s="20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W77" s="6" t="s">
        <v>99</v>
      </c>
    </row>
    <row r="78" spans="3:49" x14ac:dyDescent="0.35">
      <c r="C78" s="1" t="s">
        <v>199</v>
      </c>
      <c r="D78" s="21" t="s">
        <v>206</v>
      </c>
      <c r="E78" s="19" t="s">
        <v>204</v>
      </c>
      <c r="F78" s="20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W78" s="6" t="s">
        <v>89</v>
      </c>
    </row>
    <row r="79" spans="3:49" x14ac:dyDescent="0.35">
      <c r="C79" s="1" t="s">
        <v>199</v>
      </c>
      <c r="D79" s="21" t="s">
        <v>207</v>
      </c>
      <c r="E79" s="19" t="s">
        <v>208</v>
      </c>
      <c r="F79" s="20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/>
      <c r="L79" s="6" t="s">
        <v>108</v>
      </c>
      <c r="M79" s="1" t="str">
        <f t="shared" si="19"/>
        <v>TBP</v>
      </c>
      <c r="N79" s="6" t="s">
        <v>136</v>
      </c>
      <c r="O79" s="1" t="str">
        <f t="shared" si="38"/>
        <v>TBP</v>
      </c>
      <c r="P79" s="1" t="s">
        <v>108</v>
      </c>
      <c r="Q79" s="1" t="str">
        <f t="shared" si="39"/>
        <v>TBP</v>
      </c>
      <c r="R79" s="1" t="s">
        <v>136</v>
      </c>
      <c r="S79" s="6" t="str">
        <f t="shared" si="40"/>
        <v>TBP</v>
      </c>
      <c r="T79" s="8" t="s">
        <v>108</v>
      </c>
      <c r="U79" s="6" t="str">
        <f t="shared" si="41"/>
        <v>TBP</v>
      </c>
      <c r="V79" s="6" t="s">
        <v>108</v>
      </c>
      <c r="W79" s="6" t="str">
        <f t="shared" si="42"/>
        <v>TBP</v>
      </c>
      <c r="X79" s="6" t="s">
        <v>108</v>
      </c>
      <c r="Y79" s="6" t="str">
        <f t="shared" si="43"/>
        <v>TBP</v>
      </c>
      <c r="Z79" s="1" t="s">
        <v>136</v>
      </c>
      <c r="AA79" s="6" t="str">
        <f t="shared" si="44"/>
        <v>TBP</v>
      </c>
      <c r="AB79" s="6" t="s">
        <v>136</v>
      </c>
      <c r="AC79" s="6" t="str">
        <f t="shared" si="45"/>
        <v>TBP</v>
      </c>
      <c r="AD79" s="6" t="s">
        <v>136</v>
      </c>
      <c r="AE79" s="6" t="str">
        <f t="shared" si="46"/>
        <v>TBP</v>
      </c>
      <c r="AF79" s="1" t="s">
        <v>136</v>
      </c>
      <c r="AG79" s="6" t="str">
        <f t="shared" si="47"/>
        <v>TBP</v>
      </c>
      <c r="AH79" s="6" t="s">
        <v>136</v>
      </c>
      <c r="AI79" s="6" t="str">
        <f t="shared" si="48"/>
        <v>TBP</v>
      </c>
      <c r="AJ79" s="6" t="s">
        <v>136</v>
      </c>
      <c r="AK79" s="6" t="str">
        <f t="shared" si="49"/>
        <v>TBP</v>
      </c>
      <c r="AL79" s="6" t="s">
        <v>136</v>
      </c>
      <c r="AM79" s="6" t="str">
        <f t="shared" si="50"/>
        <v>TBP</v>
      </c>
      <c r="AN79" s="6" t="s">
        <v>136</v>
      </c>
      <c r="AO79" s="6" t="str">
        <f t="shared" si="51"/>
        <v>TBP</v>
      </c>
      <c r="AP79" s="6" t="s">
        <v>136</v>
      </c>
      <c r="AQ79" s="6" t="str">
        <f t="shared" si="52"/>
        <v>TBP</v>
      </c>
      <c r="AR79" s="6" t="s">
        <v>136</v>
      </c>
      <c r="AS79" s="6" t="str">
        <f t="shared" si="53"/>
        <v>TBP</v>
      </c>
      <c r="AT79" s="6" t="s">
        <v>136</v>
      </c>
      <c r="AU79" s="6" t="str">
        <f t="shared" si="54"/>
        <v>TBP</v>
      </c>
      <c r="AW79" s="6" t="s">
        <v>136</v>
      </c>
    </row>
    <row r="80" spans="3:49" x14ac:dyDescent="0.35">
      <c r="C80" s="1" t="s">
        <v>199</v>
      </c>
      <c r="D80" s="21" t="s">
        <v>209</v>
      </c>
      <c r="E80" s="19" t="s">
        <v>208</v>
      </c>
      <c r="F80" s="20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/>
      <c r="L80" s="6" t="s">
        <v>60</v>
      </c>
      <c r="M80" s="1" t="str">
        <f t="shared" si="19"/>
        <v>TBP</v>
      </c>
      <c r="N80" s="6" t="s">
        <v>60</v>
      </c>
      <c r="O80" s="1" t="str">
        <f t="shared" si="38"/>
        <v>TBP</v>
      </c>
      <c r="P80" s="1" t="s">
        <v>60</v>
      </c>
      <c r="Q80" s="1" t="str">
        <f t="shared" si="39"/>
        <v>TBP</v>
      </c>
      <c r="R80" s="8" t="s">
        <v>60</v>
      </c>
      <c r="S80" s="6" t="str">
        <f t="shared" si="40"/>
        <v>TBP</v>
      </c>
      <c r="T80" s="8" t="s">
        <v>60</v>
      </c>
      <c r="U80" s="6" t="str">
        <f t="shared" si="41"/>
        <v>TBP</v>
      </c>
      <c r="V80" s="6" t="s">
        <v>60</v>
      </c>
      <c r="W80" s="6" t="str">
        <f t="shared" si="42"/>
        <v>TBP</v>
      </c>
      <c r="X80" s="6" t="s">
        <v>60</v>
      </c>
      <c r="Y80" s="6" t="str">
        <f t="shared" si="43"/>
        <v>TBP</v>
      </c>
      <c r="Z80" s="8" t="s">
        <v>60</v>
      </c>
      <c r="AA80" s="6" t="str">
        <f t="shared" si="44"/>
        <v>TBP</v>
      </c>
      <c r="AB80" s="6" t="s">
        <v>60</v>
      </c>
      <c r="AC80" s="6" t="str">
        <f t="shared" si="45"/>
        <v>TBP</v>
      </c>
      <c r="AD80" s="6" t="s">
        <v>60</v>
      </c>
      <c r="AE80" s="6" t="str">
        <f t="shared" si="46"/>
        <v>TBP</v>
      </c>
      <c r="AF80" s="1" t="s">
        <v>60</v>
      </c>
      <c r="AG80" s="6" t="str">
        <f t="shared" si="47"/>
        <v>TBP</v>
      </c>
      <c r="AH80" s="6" t="s">
        <v>60</v>
      </c>
      <c r="AI80" s="6" t="str">
        <f t="shared" si="48"/>
        <v>TBP</v>
      </c>
      <c r="AJ80" s="6" t="s">
        <v>60</v>
      </c>
      <c r="AK80" s="6" t="str">
        <f t="shared" si="49"/>
        <v>TBP</v>
      </c>
      <c r="AL80" s="6" t="s">
        <v>60</v>
      </c>
      <c r="AM80" s="6" t="str">
        <f t="shared" si="50"/>
        <v>TBP</v>
      </c>
      <c r="AN80" s="6" t="s">
        <v>60</v>
      </c>
      <c r="AO80" s="6" t="str">
        <f t="shared" si="51"/>
        <v>TBP</v>
      </c>
      <c r="AP80" s="6" t="s">
        <v>113</v>
      </c>
      <c r="AQ80" s="6" t="str">
        <f t="shared" si="52"/>
        <v>TBP</v>
      </c>
      <c r="AR80" s="6" t="s">
        <v>60</v>
      </c>
      <c r="AS80" s="6" t="str">
        <f t="shared" si="53"/>
        <v>TBP</v>
      </c>
      <c r="AT80" s="6" t="s">
        <v>60</v>
      </c>
      <c r="AU80" s="6" t="str">
        <f t="shared" si="54"/>
        <v>TBP</v>
      </c>
      <c r="AW80" s="6" t="s">
        <v>60</v>
      </c>
    </row>
    <row r="81" spans="3:49" x14ac:dyDescent="0.35">
      <c r="C81" s="1" t="s">
        <v>199</v>
      </c>
      <c r="D81" s="21" t="s">
        <v>210</v>
      </c>
      <c r="E81" s="19" t="s">
        <v>208</v>
      </c>
      <c r="F81" s="20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/>
      <c r="L81" s="6" t="s">
        <v>51</v>
      </c>
      <c r="M81" s="1" t="str">
        <f t="shared" si="19"/>
        <v>TBP</v>
      </c>
      <c r="N81" s="6" t="s">
        <v>51</v>
      </c>
      <c r="O81" s="1" t="str">
        <f t="shared" si="38"/>
        <v>TBP</v>
      </c>
      <c r="P81" s="1" t="s">
        <v>51</v>
      </c>
      <c r="Q81" s="1" t="str">
        <f t="shared" si="39"/>
        <v>TBP</v>
      </c>
      <c r="R81" s="8" t="s">
        <v>51</v>
      </c>
      <c r="S81" s="6" t="str">
        <f t="shared" si="40"/>
        <v>TBP</v>
      </c>
      <c r="T81" s="8" t="s">
        <v>51</v>
      </c>
      <c r="U81" s="6" t="str">
        <f t="shared" si="41"/>
        <v>TBP</v>
      </c>
      <c r="V81" s="6" t="s">
        <v>51</v>
      </c>
      <c r="W81" s="6" t="str">
        <f t="shared" si="42"/>
        <v>TBP</v>
      </c>
      <c r="X81" s="6" t="s">
        <v>109</v>
      </c>
      <c r="Y81" s="6" t="str">
        <f t="shared" si="43"/>
        <v>TBP</v>
      </c>
      <c r="Z81" s="8" t="s">
        <v>51</v>
      </c>
      <c r="AA81" s="6" t="str">
        <f t="shared" si="44"/>
        <v>TBP</v>
      </c>
      <c r="AB81" s="6" t="s">
        <v>51</v>
      </c>
      <c r="AC81" s="6" t="str">
        <f t="shared" si="45"/>
        <v>TBP</v>
      </c>
      <c r="AD81" s="6" t="s">
        <v>51</v>
      </c>
      <c r="AE81" s="6" t="str">
        <f t="shared" si="46"/>
        <v>TBP</v>
      </c>
      <c r="AF81" s="6" t="s">
        <v>51</v>
      </c>
      <c r="AG81" s="6" t="str">
        <f t="shared" si="47"/>
        <v>TBP</v>
      </c>
      <c r="AH81" s="6" t="s">
        <v>51</v>
      </c>
      <c r="AI81" s="6" t="str">
        <f t="shared" si="48"/>
        <v>TBP</v>
      </c>
      <c r="AJ81" s="6" t="s">
        <v>51</v>
      </c>
      <c r="AK81" s="6" t="str">
        <f t="shared" si="49"/>
        <v>TBP</v>
      </c>
      <c r="AL81" s="6" t="s">
        <v>51</v>
      </c>
      <c r="AM81" s="6" t="str">
        <f t="shared" si="50"/>
        <v>TBP</v>
      </c>
      <c r="AN81" s="6" t="s">
        <v>51</v>
      </c>
      <c r="AO81" s="6" t="str">
        <f t="shared" si="51"/>
        <v>TBP</v>
      </c>
      <c r="AP81" s="6" t="s">
        <v>51</v>
      </c>
      <c r="AQ81" s="6" t="str">
        <f t="shared" si="52"/>
        <v>TBP</v>
      </c>
      <c r="AR81" s="6" t="s">
        <v>51</v>
      </c>
      <c r="AS81" s="6" t="str">
        <f t="shared" si="53"/>
        <v>TBP</v>
      </c>
      <c r="AT81" s="6" t="s">
        <v>109</v>
      </c>
      <c r="AU81" s="6" t="str">
        <f t="shared" si="54"/>
        <v>TBP</v>
      </c>
      <c r="AW81" s="6" t="s">
        <v>51</v>
      </c>
    </row>
    <row r="82" spans="3:49" x14ac:dyDescent="0.35">
      <c r="C82" s="1" t="s">
        <v>199</v>
      </c>
      <c r="D82" s="21" t="s">
        <v>211</v>
      </c>
      <c r="E82" s="19" t="s">
        <v>212</v>
      </c>
      <c r="F82" s="20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/>
      <c r="L82" s="6" t="s">
        <v>146</v>
      </c>
      <c r="M82" s="1" t="str">
        <f t="shared" si="19"/>
        <v>TBP</v>
      </c>
      <c r="N82" s="6" t="s">
        <v>67</v>
      </c>
      <c r="O82" s="1" t="str">
        <f t="shared" si="38"/>
        <v>TBP</v>
      </c>
      <c r="P82" s="1" t="s">
        <v>67</v>
      </c>
      <c r="Q82" s="1" t="str">
        <f t="shared" si="39"/>
        <v>TBP</v>
      </c>
      <c r="R82" s="8" t="s">
        <v>67</v>
      </c>
      <c r="S82" s="6" t="str">
        <f t="shared" si="40"/>
        <v>TBP</v>
      </c>
      <c r="T82" s="8" t="s">
        <v>67</v>
      </c>
      <c r="U82" s="6" t="str">
        <f t="shared" si="41"/>
        <v>TBP</v>
      </c>
      <c r="V82" s="6" t="s">
        <v>67</v>
      </c>
      <c r="W82" s="6" t="str">
        <f t="shared" si="42"/>
        <v>TBP</v>
      </c>
      <c r="X82" s="6" t="s">
        <v>67</v>
      </c>
      <c r="Y82" s="6" t="str">
        <f t="shared" si="43"/>
        <v>TBP</v>
      </c>
      <c r="Z82" s="8" t="s">
        <v>67</v>
      </c>
      <c r="AA82" s="6" t="str">
        <f t="shared" si="44"/>
        <v>TBP</v>
      </c>
      <c r="AB82" s="6" t="s">
        <v>67</v>
      </c>
      <c r="AC82" s="6" t="str">
        <f t="shared" si="45"/>
        <v>TBP</v>
      </c>
      <c r="AD82" s="6" t="s">
        <v>67</v>
      </c>
      <c r="AE82" s="6" t="str">
        <f t="shared" si="46"/>
        <v>TBP</v>
      </c>
      <c r="AF82" s="6" t="s">
        <v>67</v>
      </c>
      <c r="AG82" s="6" t="str">
        <f t="shared" si="47"/>
        <v>TBP</v>
      </c>
      <c r="AH82" s="6" t="s">
        <v>67</v>
      </c>
      <c r="AI82" s="6" t="str">
        <f t="shared" si="48"/>
        <v>TBP</v>
      </c>
      <c r="AJ82" s="6" t="s">
        <v>67</v>
      </c>
      <c r="AK82" s="6" t="str">
        <f t="shared" si="49"/>
        <v>TBP</v>
      </c>
      <c r="AL82" s="6" t="s">
        <v>67</v>
      </c>
      <c r="AM82" s="6" t="str">
        <f t="shared" si="50"/>
        <v>TBP</v>
      </c>
      <c r="AN82" s="6" t="s">
        <v>67</v>
      </c>
      <c r="AO82" s="6" t="str">
        <f t="shared" si="51"/>
        <v>TBP</v>
      </c>
      <c r="AP82" s="6" t="s">
        <v>146</v>
      </c>
      <c r="AQ82" s="6" t="str">
        <f t="shared" si="52"/>
        <v>TBP</v>
      </c>
      <c r="AR82" s="6" t="s">
        <v>67</v>
      </c>
      <c r="AS82" s="6" t="str">
        <f t="shared" si="53"/>
        <v>TBP</v>
      </c>
      <c r="AT82" s="6" t="s">
        <v>67</v>
      </c>
      <c r="AU82" s="6" t="str">
        <f t="shared" si="54"/>
        <v>TBP</v>
      </c>
      <c r="AW82" s="6" t="s">
        <v>67</v>
      </c>
    </row>
    <row r="83" spans="3:49" x14ac:dyDescent="0.35">
      <c r="C83" s="1" t="s">
        <v>199</v>
      </c>
      <c r="D83" s="21" t="s">
        <v>213</v>
      </c>
      <c r="E83" s="19" t="s">
        <v>212</v>
      </c>
      <c r="F83" s="20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/>
      <c r="L83" s="6" t="s">
        <v>120</v>
      </c>
      <c r="M83" s="1" t="str">
        <f t="shared" si="19"/>
        <v>TBP</v>
      </c>
      <c r="N83" s="6" t="s">
        <v>96</v>
      </c>
      <c r="O83" s="1" t="str">
        <f t="shared" si="38"/>
        <v>TBP</v>
      </c>
      <c r="P83" s="1" t="s">
        <v>96</v>
      </c>
      <c r="Q83" s="1" t="str">
        <f t="shared" si="39"/>
        <v>TBP</v>
      </c>
      <c r="R83" s="8" t="s">
        <v>96</v>
      </c>
      <c r="S83" s="6" t="str">
        <f t="shared" si="40"/>
        <v>TBP</v>
      </c>
      <c r="T83" s="1" t="s">
        <v>120</v>
      </c>
      <c r="U83" s="6" t="str">
        <f t="shared" si="41"/>
        <v>TBP</v>
      </c>
      <c r="V83" s="6" t="s">
        <v>96</v>
      </c>
      <c r="W83" s="6" t="str">
        <f t="shared" si="42"/>
        <v>TBP</v>
      </c>
      <c r="X83" s="6" t="s">
        <v>96</v>
      </c>
      <c r="Y83" s="6" t="str">
        <f t="shared" si="43"/>
        <v>TBP</v>
      </c>
      <c r="Z83" s="8" t="s">
        <v>96</v>
      </c>
      <c r="AA83" s="6" t="str">
        <f t="shared" si="44"/>
        <v>TBP</v>
      </c>
      <c r="AB83" s="6" t="s">
        <v>96</v>
      </c>
      <c r="AC83" s="6" t="str">
        <f t="shared" si="45"/>
        <v>TBP</v>
      </c>
      <c r="AD83" s="6" t="s">
        <v>96</v>
      </c>
      <c r="AE83" s="6" t="str">
        <f t="shared" si="46"/>
        <v>TBP</v>
      </c>
      <c r="AF83" s="6" t="s">
        <v>96</v>
      </c>
      <c r="AG83" s="6" t="str">
        <f t="shared" si="47"/>
        <v>TBP</v>
      </c>
      <c r="AH83" s="6" t="s">
        <v>96</v>
      </c>
      <c r="AI83" s="6" t="str">
        <f t="shared" si="48"/>
        <v>TBP</v>
      </c>
      <c r="AJ83" s="6" t="s">
        <v>96</v>
      </c>
      <c r="AK83" s="6" t="str">
        <f t="shared" si="49"/>
        <v>TBP</v>
      </c>
      <c r="AL83" s="6" t="s">
        <v>96</v>
      </c>
      <c r="AM83" s="6" t="str">
        <f t="shared" si="50"/>
        <v>TBP</v>
      </c>
      <c r="AN83" s="6" t="s">
        <v>96</v>
      </c>
      <c r="AO83" s="6" t="str">
        <f t="shared" si="51"/>
        <v>TBP</v>
      </c>
      <c r="AP83" s="6" t="s">
        <v>96</v>
      </c>
      <c r="AQ83" s="6" t="str">
        <f t="shared" si="52"/>
        <v>TBP</v>
      </c>
      <c r="AR83" s="6" t="s">
        <v>96</v>
      </c>
      <c r="AS83" s="6" t="str">
        <f t="shared" si="53"/>
        <v>TBP</v>
      </c>
      <c r="AT83" s="6" t="s">
        <v>96</v>
      </c>
      <c r="AU83" s="6" t="str">
        <f t="shared" si="54"/>
        <v>TBP</v>
      </c>
      <c r="AW83" s="6" t="s">
        <v>96</v>
      </c>
    </row>
    <row r="84" spans="3:49" ht="26" x14ac:dyDescent="0.35">
      <c r="C84" s="1" t="s">
        <v>199</v>
      </c>
      <c r="D84" s="21" t="s">
        <v>214</v>
      </c>
      <c r="E84" s="19" t="s">
        <v>212</v>
      </c>
      <c r="F84" s="20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/>
      <c r="L84" s="6" t="s">
        <v>71</v>
      </c>
      <c r="M84" s="1" t="str">
        <f t="shared" si="19"/>
        <v>TBP</v>
      </c>
      <c r="N84" s="8" t="s">
        <v>71</v>
      </c>
      <c r="O84" s="1" t="str">
        <f t="shared" si="38"/>
        <v>TBP</v>
      </c>
      <c r="P84" s="1" t="s">
        <v>71</v>
      </c>
      <c r="Q84" s="1" t="str">
        <f t="shared" si="39"/>
        <v>TBP</v>
      </c>
      <c r="R84" s="8" t="s">
        <v>71</v>
      </c>
      <c r="S84" s="6" t="str">
        <f t="shared" si="40"/>
        <v>TBP</v>
      </c>
      <c r="T84" s="1" t="s">
        <v>65</v>
      </c>
      <c r="U84" s="6" t="str">
        <f t="shared" si="41"/>
        <v>TBP</v>
      </c>
      <c r="V84" s="6" t="s">
        <v>71</v>
      </c>
      <c r="W84" s="6" t="str">
        <f t="shared" si="42"/>
        <v>TBP</v>
      </c>
      <c r="X84" s="6" t="s">
        <v>71</v>
      </c>
      <c r="Y84" s="6" t="str">
        <f t="shared" si="43"/>
        <v>TBP</v>
      </c>
      <c r="Z84" s="8" t="s">
        <v>71</v>
      </c>
      <c r="AA84" s="6" t="str">
        <f t="shared" si="44"/>
        <v>TBP</v>
      </c>
      <c r="AB84" s="8" t="s">
        <v>71</v>
      </c>
      <c r="AC84" s="6" t="str">
        <f t="shared" si="45"/>
        <v>TBP</v>
      </c>
      <c r="AD84" s="8" t="s">
        <v>71</v>
      </c>
      <c r="AE84" s="6" t="str">
        <f t="shared" si="46"/>
        <v>TBP</v>
      </c>
      <c r="AF84" s="28" t="s">
        <v>71</v>
      </c>
      <c r="AG84" s="6" t="str">
        <f t="shared" si="47"/>
        <v>TBP</v>
      </c>
      <c r="AH84" s="6" t="s">
        <v>215</v>
      </c>
      <c r="AI84" s="6" t="str">
        <f t="shared" si="48"/>
        <v>TBP</v>
      </c>
      <c r="AJ84" s="6" t="s">
        <v>71</v>
      </c>
      <c r="AK84" s="6" t="str">
        <f t="shared" si="49"/>
        <v>TBP</v>
      </c>
      <c r="AL84" s="6" t="s">
        <v>71</v>
      </c>
      <c r="AM84" s="6" t="str">
        <f t="shared" si="50"/>
        <v>TBP</v>
      </c>
      <c r="AN84" s="6" t="s">
        <v>71</v>
      </c>
      <c r="AO84" s="6" t="str">
        <f t="shared" si="51"/>
        <v>TBP</v>
      </c>
      <c r="AP84" s="6" t="s">
        <v>65</v>
      </c>
      <c r="AQ84" s="6" t="str">
        <f t="shared" si="52"/>
        <v>TBP</v>
      </c>
      <c r="AR84" s="6" t="s">
        <v>71</v>
      </c>
      <c r="AS84" s="6" t="str">
        <f t="shared" si="53"/>
        <v>TBP</v>
      </c>
      <c r="AT84" s="6" t="s">
        <v>71</v>
      </c>
      <c r="AU84" s="6" t="str">
        <f t="shared" si="54"/>
        <v>TBP</v>
      </c>
      <c r="AW84" s="6" t="s">
        <v>215</v>
      </c>
    </row>
    <row r="85" spans="3:49" x14ac:dyDescent="0.35">
      <c r="C85" s="1" t="s">
        <v>199</v>
      </c>
      <c r="D85" s="21" t="s">
        <v>216</v>
      </c>
      <c r="E85" s="19" t="s">
        <v>217</v>
      </c>
      <c r="F85" s="20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/>
      <c r="L85" s="6" t="s">
        <v>54</v>
      </c>
      <c r="M85" s="1" t="str">
        <f t="shared" si="19"/>
        <v>TBP</v>
      </c>
      <c r="N85" s="6" t="s">
        <v>54</v>
      </c>
      <c r="O85" s="1" t="str">
        <f t="shared" si="38"/>
        <v>TBP</v>
      </c>
      <c r="P85" s="1" t="s">
        <v>54</v>
      </c>
      <c r="Q85" s="1" t="str">
        <f t="shared" si="39"/>
        <v>TBP</v>
      </c>
      <c r="R85" s="8" t="s">
        <v>54</v>
      </c>
      <c r="S85" s="6" t="str">
        <f t="shared" si="40"/>
        <v>TBP</v>
      </c>
      <c r="T85" s="8" t="s">
        <v>54</v>
      </c>
      <c r="U85" s="6" t="str">
        <f t="shared" si="41"/>
        <v>TBP</v>
      </c>
      <c r="V85" s="6" t="s">
        <v>54</v>
      </c>
      <c r="W85" s="6" t="str">
        <f t="shared" si="42"/>
        <v>TBP</v>
      </c>
      <c r="X85" s="6" t="s">
        <v>54</v>
      </c>
      <c r="Y85" s="6" t="str">
        <f t="shared" si="43"/>
        <v>TBP</v>
      </c>
      <c r="Z85" s="8" t="s">
        <v>54</v>
      </c>
      <c r="AA85" s="6" t="str">
        <f t="shared" si="44"/>
        <v>TBP</v>
      </c>
      <c r="AB85" s="6" t="s">
        <v>54</v>
      </c>
      <c r="AC85" s="6" t="str">
        <f t="shared" si="45"/>
        <v>TBP</v>
      </c>
      <c r="AD85" s="6" t="s">
        <v>54</v>
      </c>
      <c r="AE85" s="6" t="str">
        <f t="shared" si="46"/>
        <v>TBP</v>
      </c>
      <c r="AF85" s="6" t="s">
        <v>54</v>
      </c>
      <c r="AG85" s="6" t="str">
        <f t="shared" si="47"/>
        <v>TBP</v>
      </c>
      <c r="AH85" s="6" t="s">
        <v>54</v>
      </c>
      <c r="AI85" s="6" t="str">
        <f t="shared" si="48"/>
        <v>TBP</v>
      </c>
      <c r="AJ85" s="6" t="s">
        <v>54</v>
      </c>
      <c r="AK85" s="6" t="str">
        <f t="shared" si="49"/>
        <v>TBP</v>
      </c>
      <c r="AL85" s="6" t="s">
        <v>54</v>
      </c>
      <c r="AM85" s="6" t="str">
        <f t="shared" si="50"/>
        <v>TBP</v>
      </c>
      <c r="AN85" s="6" t="s">
        <v>54</v>
      </c>
      <c r="AO85" s="6" t="str">
        <f t="shared" si="51"/>
        <v>TBP</v>
      </c>
      <c r="AP85" s="6" t="s">
        <v>54</v>
      </c>
      <c r="AQ85" s="6" t="str">
        <f t="shared" si="52"/>
        <v>TBP</v>
      </c>
      <c r="AR85" s="6" t="s">
        <v>54</v>
      </c>
      <c r="AS85" s="6" t="str">
        <f t="shared" si="53"/>
        <v>TBP</v>
      </c>
      <c r="AT85" s="6" t="s">
        <v>54</v>
      </c>
      <c r="AU85" s="6" t="str">
        <f t="shared" si="54"/>
        <v>TBP</v>
      </c>
      <c r="AW85" s="6" t="s">
        <v>54</v>
      </c>
    </row>
    <row r="86" spans="3:49" x14ac:dyDescent="0.35">
      <c r="C86" s="1" t="s">
        <v>199</v>
      </c>
      <c r="D86" s="21" t="s">
        <v>218</v>
      </c>
      <c r="E86" s="19" t="s">
        <v>217</v>
      </c>
      <c r="F86" s="20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/>
      <c r="L86" s="6" t="s">
        <v>74</v>
      </c>
      <c r="M86" s="1" t="str">
        <f t="shared" si="19"/>
        <v>TBP</v>
      </c>
      <c r="N86" s="6" t="s">
        <v>106</v>
      </c>
      <c r="O86" s="1" t="str">
        <f t="shared" si="38"/>
        <v>TBP</v>
      </c>
      <c r="P86" s="1" t="s">
        <v>74</v>
      </c>
      <c r="Q86" s="1" t="str">
        <f t="shared" si="39"/>
        <v>TBP</v>
      </c>
      <c r="R86" s="1" t="s">
        <v>106</v>
      </c>
      <c r="S86" s="6" t="str">
        <f t="shared" si="40"/>
        <v>TBP</v>
      </c>
      <c r="T86" s="1" t="s">
        <v>106</v>
      </c>
      <c r="U86" s="6" t="str">
        <f t="shared" si="41"/>
        <v>TBP</v>
      </c>
      <c r="V86" s="6" t="s">
        <v>74</v>
      </c>
      <c r="W86" s="6" t="str">
        <f t="shared" si="42"/>
        <v>TBP</v>
      </c>
      <c r="X86" s="6" t="s">
        <v>74</v>
      </c>
      <c r="Y86" s="6" t="str">
        <f t="shared" si="43"/>
        <v>TBP</v>
      </c>
      <c r="Z86" s="8" t="s">
        <v>74</v>
      </c>
      <c r="AA86" s="6" t="str">
        <f t="shared" si="44"/>
        <v>TBP</v>
      </c>
      <c r="AB86" s="8" t="s">
        <v>74</v>
      </c>
      <c r="AC86" s="6" t="str">
        <f t="shared" si="45"/>
        <v>TBP</v>
      </c>
      <c r="AD86" s="6" t="s">
        <v>74</v>
      </c>
      <c r="AE86" s="6" t="str">
        <f t="shared" si="46"/>
        <v>TBP</v>
      </c>
      <c r="AF86" s="6" t="s">
        <v>106</v>
      </c>
      <c r="AG86" s="6" t="str">
        <f t="shared" si="47"/>
        <v>TBP</v>
      </c>
      <c r="AH86" s="6" t="s">
        <v>74</v>
      </c>
      <c r="AI86" s="6" t="str">
        <f t="shared" si="48"/>
        <v>TBP</v>
      </c>
      <c r="AJ86" s="6" t="s">
        <v>74</v>
      </c>
      <c r="AK86" s="6" t="str">
        <f t="shared" si="49"/>
        <v>TBP</v>
      </c>
      <c r="AL86" s="6" t="s">
        <v>74</v>
      </c>
      <c r="AM86" s="6" t="str">
        <f t="shared" si="50"/>
        <v>TBP</v>
      </c>
      <c r="AN86" s="6" t="s">
        <v>74</v>
      </c>
      <c r="AO86" s="6" t="str">
        <f t="shared" si="51"/>
        <v>TBP</v>
      </c>
      <c r="AP86" s="6" t="s">
        <v>74</v>
      </c>
      <c r="AQ86" s="6" t="str">
        <f t="shared" si="52"/>
        <v>TBP</v>
      </c>
      <c r="AR86" s="6" t="s">
        <v>74</v>
      </c>
      <c r="AS86" s="6" t="str">
        <f t="shared" si="53"/>
        <v>TBP</v>
      </c>
      <c r="AT86" s="6" t="s">
        <v>74</v>
      </c>
      <c r="AU86" s="6" t="str">
        <f t="shared" si="54"/>
        <v>TBP</v>
      </c>
      <c r="AW86" s="6" t="s">
        <v>74</v>
      </c>
    </row>
    <row r="87" spans="3:49" x14ac:dyDescent="0.35">
      <c r="C87" s="1" t="s">
        <v>199</v>
      </c>
      <c r="D87" s="21" t="s">
        <v>219</v>
      </c>
      <c r="E87" s="19" t="s">
        <v>217</v>
      </c>
      <c r="F87" s="20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1"/>
      <c r="L87" s="6" t="s">
        <v>139</v>
      </c>
      <c r="M87" s="1" t="str">
        <f t="shared" si="19"/>
        <v>TBP</v>
      </c>
      <c r="N87" s="8" t="s">
        <v>77</v>
      </c>
      <c r="O87" s="1" t="str">
        <f t="shared" si="38"/>
        <v>TBP</v>
      </c>
      <c r="P87" s="1" t="s">
        <v>77</v>
      </c>
      <c r="Q87" s="1" t="str">
        <f t="shared" si="39"/>
        <v>TBP</v>
      </c>
      <c r="R87" s="8" t="s">
        <v>77</v>
      </c>
      <c r="S87" s="6" t="str">
        <f t="shared" si="40"/>
        <v>TBP</v>
      </c>
      <c r="T87" s="1" t="s">
        <v>139</v>
      </c>
      <c r="U87" s="6" t="str">
        <f t="shared" si="41"/>
        <v>TBP</v>
      </c>
      <c r="V87" s="6" t="s">
        <v>77</v>
      </c>
      <c r="W87" s="6" t="str">
        <f t="shared" si="42"/>
        <v>TBP</v>
      </c>
      <c r="X87" s="6" t="s">
        <v>77</v>
      </c>
      <c r="Y87" s="6" t="str">
        <f t="shared" si="43"/>
        <v>TBP</v>
      </c>
      <c r="Z87" s="8" t="s">
        <v>77</v>
      </c>
      <c r="AA87" s="6" t="str">
        <f t="shared" si="44"/>
        <v>TBP</v>
      </c>
      <c r="AB87" s="6" t="s">
        <v>77</v>
      </c>
      <c r="AC87" s="6" t="str">
        <f t="shared" si="45"/>
        <v>TBP</v>
      </c>
      <c r="AD87" s="8" t="s">
        <v>77</v>
      </c>
      <c r="AE87" s="6" t="str">
        <f t="shared" si="46"/>
        <v>TBP</v>
      </c>
      <c r="AF87" s="6" t="s">
        <v>139</v>
      </c>
      <c r="AG87" s="6" t="str">
        <f t="shared" si="47"/>
        <v>TBP</v>
      </c>
      <c r="AH87" s="6" t="s">
        <v>77</v>
      </c>
      <c r="AI87" s="6" t="str">
        <f t="shared" si="48"/>
        <v>TBP</v>
      </c>
      <c r="AJ87" s="6" t="s">
        <v>77</v>
      </c>
      <c r="AK87" s="6" t="str">
        <f t="shared" si="49"/>
        <v>TBP</v>
      </c>
      <c r="AL87" s="6" t="s">
        <v>77</v>
      </c>
      <c r="AM87" s="6" t="str">
        <f t="shared" si="50"/>
        <v>TBP</v>
      </c>
      <c r="AN87" s="6" t="s">
        <v>77</v>
      </c>
      <c r="AO87" s="6" t="str">
        <f t="shared" si="51"/>
        <v>TBP</v>
      </c>
      <c r="AP87" s="6" t="s">
        <v>139</v>
      </c>
      <c r="AQ87" s="6" t="str">
        <f t="shared" si="52"/>
        <v>TBP</v>
      </c>
      <c r="AR87" s="6" t="s">
        <v>77</v>
      </c>
      <c r="AS87" s="6" t="str">
        <f t="shared" si="53"/>
        <v>TBP</v>
      </c>
      <c r="AT87" s="6" t="s">
        <v>77</v>
      </c>
      <c r="AU87" s="6" t="str">
        <f t="shared" si="54"/>
        <v>TBP</v>
      </c>
      <c r="AW87" s="8" t="s">
        <v>77</v>
      </c>
    </row>
    <row r="88" spans="3:49" x14ac:dyDescent="0.35">
      <c r="C88" s="1" t="s">
        <v>199</v>
      </c>
      <c r="D88" s="21" t="s">
        <v>220</v>
      </c>
      <c r="E88" s="19" t="s">
        <v>221</v>
      </c>
      <c r="F88" s="20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/>
      <c r="L88" s="6" t="s">
        <v>92</v>
      </c>
      <c r="M88" s="1" t="str">
        <f t="shared" si="19"/>
        <v>TBP</v>
      </c>
      <c r="N88" s="6" t="s">
        <v>123</v>
      </c>
      <c r="O88" s="1" t="str">
        <f t="shared" si="38"/>
        <v>TBP</v>
      </c>
      <c r="P88" s="1" t="s">
        <v>123</v>
      </c>
      <c r="Q88" s="1" t="str">
        <f t="shared" si="39"/>
        <v>TBP</v>
      </c>
      <c r="R88" s="8" t="s">
        <v>92</v>
      </c>
      <c r="S88" s="6" t="str">
        <f t="shared" si="40"/>
        <v>TBP</v>
      </c>
      <c r="T88" s="8" t="s">
        <v>92</v>
      </c>
      <c r="U88" s="6" t="str">
        <f t="shared" si="41"/>
        <v>TBP</v>
      </c>
      <c r="V88" s="6" t="s">
        <v>92</v>
      </c>
      <c r="W88" s="6" t="str">
        <f t="shared" si="42"/>
        <v>TBP</v>
      </c>
      <c r="X88" s="6" t="s">
        <v>92</v>
      </c>
      <c r="Y88" s="6" t="str">
        <f t="shared" si="43"/>
        <v>TBP</v>
      </c>
      <c r="Z88" s="1" t="s">
        <v>123</v>
      </c>
      <c r="AA88" s="6" t="str">
        <f t="shared" si="44"/>
        <v>TBP</v>
      </c>
      <c r="AB88" s="1" t="s">
        <v>123</v>
      </c>
      <c r="AC88" s="6" t="str">
        <f t="shared" si="45"/>
        <v>TBP</v>
      </c>
      <c r="AD88" s="6" t="s">
        <v>123</v>
      </c>
      <c r="AE88" s="6" t="str">
        <f t="shared" si="46"/>
        <v>TBP</v>
      </c>
      <c r="AF88" s="6" t="s">
        <v>123</v>
      </c>
      <c r="AG88" s="6" t="str">
        <f t="shared" si="47"/>
        <v>TBP</v>
      </c>
      <c r="AH88" s="6" t="s">
        <v>123</v>
      </c>
      <c r="AI88" s="6" t="str">
        <f t="shared" si="48"/>
        <v>TBP</v>
      </c>
      <c r="AJ88" s="6" t="s">
        <v>123</v>
      </c>
      <c r="AK88" s="6" t="str">
        <f t="shared" si="49"/>
        <v>TBP</v>
      </c>
      <c r="AL88" s="6" t="s">
        <v>123</v>
      </c>
      <c r="AM88" s="6" t="str">
        <f t="shared" si="50"/>
        <v>TBP</v>
      </c>
      <c r="AN88" s="6" t="s">
        <v>123</v>
      </c>
      <c r="AO88" s="6" t="str">
        <f t="shared" si="51"/>
        <v>TBP</v>
      </c>
      <c r="AP88" s="6" t="s">
        <v>123</v>
      </c>
      <c r="AQ88" s="6" t="str">
        <f t="shared" si="52"/>
        <v>TBP</v>
      </c>
      <c r="AR88" s="6" t="s">
        <v>123</v>
      </c>
      <c r="AS88" s="6" t="str">
        <f t="shared" si="53"/>
        <v>TBP</v>
      </c>
      <c r="AT88" s="6" t="s">
        <v>123</v>
      </c>
      <c r="AU88" s="6" t="str">
        <f t="shared" si="54"/>
        <v>TBP</v>
      </c>
      <c r="AW88" s="6" t="s">
        <v>92</v>
      </c>
    </row>
    <row r="89" spans="3:49" x14ac:dyDescent="0.35">
      <c r="C89" s="1" t="s">
        <v>199</v>
      </c>
      <c r="D89" s="21" t="s">
        <v>222</v>
      </c>
      <c r="E89" s="19" t="s">
        <v>221</v>
      </c>
      <c r="F89" s="20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/>
      <c r="L89" s="8" t="s">
        <v>48</v>
      </c>
      <c r="M89" s="1" t="str">
        <f t="shared" si="19"/>
        <v>TBP</v>
      </c>
      <c r="N89" s="6" t="s">
        <v>48</v>
      </c>
      <c r="O89" s="1" t="str">
        <f t="shared" si="38"/>
        <v>TBP</v>
      </c>
      <c r="P89" s="1" t="s">
        <v>223</v>
      </c>
      <c r="Q89" s="1" t="str">
        <f t="shared" si="39"/>
        <v>TBP</v>
      </c>
      <c r="R89" s="8" t="s">
        <v>48</v>
      </c>
      <c r="S89" s="6" t="str">
        <f t="shared" si="40"/>
        <v>TBP</v>
      </c>
      <c r="T89" s="8" t="s">
        <v>48</v>
      </c>
      <c r="U89" s="6" t="str">
        <f t="shared" si="41"/>
        <v>TBP</v>
      </c>
      <c r="V89" s="6" t="s">
        <v>48</v>
      </c>
      <c r="W89" s="6" t="str">
        <f t="shared" si="42"/>
        <v>TBP</v>
      </c>
      <c r="X89" s="6" t="s">
        <v>48</v>
      </c>
      <c r="Y89" s="6" t="str">
        <f t="shared" si="43"/>
        <v>TBP</v>
      </c>
      <c r="Z89" s="8" t="s">
        <v>48</v>
      </c>
      <c r="AA89" s="6" t="str">
        <f t="shared" si="44"/>
        <v>TBP</v>
      </c>
      <c r="AB89" s="6" t="s">
        <v>48</v>
      </c>
      <c r="AC89" s="6" t="str">
        <f t="shared" si="45"/>
        <v>TBP</v>
      </c>
      <c r="AD89" s="6" t="s">
        <v>48</v>
      </c>
      <c r="AE89" s="6" t="str">
        <f t="shared" si="46"/>
        <v>TBP</v>
      </c>
      <c r="AF89" s="6" t="s">
        <v>48</v>
      </c>
      <c r="AG89" s="6" t="str">
        <f t="shared" si="47"/>
        <v>TBP</v>
      </c>
      <c r="AH89" s="6" t="s">
        <v>48</v>
      </c>
      <c r="AI89" s="6" t="str">
        <f t="shared" si="48"/>
        <v>TBP</v>
      </c>
      <c r="AJ89" s="6" t="s">
        <v>48</v>
      </c>
      <c r="AK89" s="6" t="str">
        <f t="shared" si="49"/>
        <v>TBP</v>
      </c>
      <c r="AL89" s="6" t="s">
        <v>48</v>
      </c>
      <c r="AM89" s="6" t="str">
        <f t="shared" si="50"/>
        <v>TBP</v>
      </c>
      <c r="AN89" s="6" t="s">
        <v>48</v>
      </c>
      <c r="AO89" s="6" t="str">
        <f t="shared" si="51"/>
        <v>TBP</v>
      </c>
      <c r="AP89" s="6" t="s">
        <v>48</v>
      </c>
      <c r="AQ89" s="6" t="str">
        <f t="shared" si="52"/>
        <v>TBP</v>
      </c>
      <c r="AR89" s="6" t="s">
        <v>48</v>
      </c>
      <c r="AS89" s="6" t="str">
        <f t="shared" si="53"/>
        <v>TBP</v>
      </c>
      <c r="AT89" s="6" t="s">
        <v>48</v>
      </c>
      <c r="AU89" s="6" t="str">
        <f t="shared" si="54"/>
        <v>TBP</v>
      </c>
      <c r="AW89" s="6" t="s">
        <v>48</v>
      </c>
    </row>
    <row r="90" spans="3:49" x14ac:dyDescent="0.35">
      <c r="C90" s="1" t="s">
        <v>199</v>
      </c>
      <c r="D90" s="21" t="s">
        <v>224</v>
      </c>
      <c r="E90" s="19" t="s">
        <v>221</v>
      </c>
      <c r="F90" s="20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/>
      <c r="L90" s="6" t="s">
        <v>151</v>
      </c>
      <c r="M90" s="1" t="str">
        <f t="shared" si="19"/>
        <v>TBP</v>
      </c>
      <c r="N90" s="8" t="s">
        <v>111</v>
      </c>
      <c r="O90" s="1" t="str">
        <f t="shared" si="38"/>
        <v>TBP</v>
      </c>
      <c r="P90" s="1" t="s">
        <v>111</v>
      </c>
      <c r="Q90" s="1" t="str">
        <f t="shared" si="39"/>
        <v>TBP</v>
      </c>
      <c r="R90" s="8" t="s">
        <v>111</v>
      </c>
      <c r="S90" s="6" t="str">
        <f t="shared" si="40"/>
        <v>TBP</v>
      </c>
      <c r="T90" s="8" t="s">
        <v>111</v>
      </c>
      <c r="U90" s="6" t="str">
        <f t="shared" si="41"/>
        <v>TBP</v>
      </c>
      <c r="V90" s="6" t="s">
        <v>111</v>
      </c>
      <c r="W90" s="6" t="str">
        <f t="shared" si="42"/>
        <v>TBP</v>
      </c>
      <c r="X90" s="6" t="s">
        <v>111</v>
      </c>
      <c r="Y90" s="6" t="str">
        <f t="shared" si="43"/>
        <v>TBP</v>
      </c>
      <c r="Z90" s="8" t="s">
        <v>111</v>
      </c>
      <c r="AA90" s="6" t="str">
        <f t="shared" si="44"/>
        <v>TBP</v>
      </c>
      <c r="AB90" s="6" t="s">
        <v>111</v>
      </c>
      <c r="AC90" s="6" t="str">
        <f t="shared" si="45"/>
        <v>TBP</v>
      </c>
      <c r="AD90" s="8" t="s">
        <v>111</v>
      </c>
      <c r="AE90" s="6" t="str">
        <f t="shared" si="46"/>
        <v>TBP</v>
      </c>
      <c r="AF90" s="6" t="s">
        <v>111</v>
      </c>
      <c r="AG90" s="6" t="str">
        <f t="shared" si="47"/>
        <v>TBP</v>
      </c>
      <c r="AH90" s="6" t="s">
        <v>111</v>
      </c>
      <c r="AI90" s="6" t="str">
        <f t="shared" si="48"/>
        <v>TBP</v>
      </c>
      <c r="AJ90" s="6" t="s">
        <v>111</v>
      </c>
      <c r="AK90" s="6" t="str">
        <f t="shared" si="49"/>
        <v>TBP</v>
      </c>
      <c r="AL90" s="6" t="s">
        <v>111</v>
      </c>
      <c r="AM90" s="6" t="str">
        <f t="shared" si="50"/>
        <v>TBP</v>
      </c>
      <c r="AN90" s="6" t="s">
        <v>111</v>
      </c>
      <c r="AO90" s="6" t="str">
        <f t="shared" si="51"/>
        <v>TBP</v>
      </c>
      <c r="AP90" s="6" t="s">
        <v>151</v>
      </c>
      <c r="AQ90" s="6" t="str">
        <f t="shared" si="52"/>
        <v>TBP</v>
      </c>
      <c r="AR90" s="6" t="s">
        <v>111</v>
      </c>
      <c r="AS90" s="6" t="str">
        <f t="shared" si="53"/>
        <v>TBP</v>
      </c>
      <c r="AT90" s="6" t="s">
        <v>111</v>
      </c>
      <c r="AU90" s="6" t="str">
        <f t="shared" si="54"/>
        <v>TBP</v>
      </c>
      <c r="AW90" s="8" t="s">
        <v>111</v>
      </c>
    </row>
    <row r="91" spans="3:49" x14ac:dyDescent="0.35">
      <c r="C91" s="1"/>
      <c r="D91" s="1"/>
      <c r="E91" s="24"/>
      <c r="F91" s="25"/>
      <c r="G91" s="1"/>
      <c r="H91" s="1"/>
      <c r="I91" s="1"/>
      <c r="J91" s="1"/>
      <c r="K91" s="1"/>
      <c r="M91" s="1"/>
      <c r="O91" s="1"/>
      <c r="P91" s="1"/>
      <c r="Q91" s="1"/>
    </row>
    <row r="92" spans="3:49" x14ac:dyDescent="0.35">
      <c r="C92" s="1" t="s">
        <v>225</v>
      </c>
      <c r="D92" s="1" t="s">
        <v>226</v>
      </c>
      <c r="E92" s="11"/>
      <c r="F92" s="1"/>
      <c r="G92" s="1" t="s">
        <v>64</v>
      </c>
      <c r="H92" s="1" t="str">
        <f>K78</f>
        <v>Morocco</v>
      </c>
      <c r="I92" s="1">
        <v>90</v>
      </c>
      <c r="J92" s="1" t="s">
        <v>101</v>
      </c>
      <c r="K92" s="1"/>
      <c r="L92" s="6" t="s">
        <v>83</v>
      </c>
      <c r="M92" s="1" t="str">
        <f t="shared" si="19"/>
        <v>TBP</v>
      </c>
      <c r="O92" s="1" t="str">
        <f t="shared" si="38"/>
        <v>TBP</v>
      </c>
      <c r="P92" s="1"/>
      <c r="Q92" s="1" t="str">
        <f t="shared" si="39"/>
        <v>TBP</v>
      </c>
      <c r="S92" s="6" t="str">
        <f t="shared" si="40"/>
        <v>TBP</v>
      </c>
      <c r="U92" s="6" t="str">
        <f t="shared" si="41"/>
        <v>TBP</v>
      </c>
      <c r="W92" s="6" t="str">
        <f t="shared" si="42"/>
        <v>TBP</v>
      </c>
      <c r="Y92" s="6" t="str">
        <f t="shared" si="43"/>
        <v>TBP</v>
      </c>
      <c r="AA92" s="6" t="str">
        <f t="shared" si="44"/>
        <v>TBP</v>
      </c>
      <c r="AC92" s="6" t="str">
        <f t="shared" si="45"/>
        <v>TBP</v>
      </c>
      <c r="AE92" s="6" t="str">
        <f t="shared" si="46"/>
        <v>TBP</v>
      </c>
      <c r="AG92" s="6" t="str">
        <f t="shared" si="47"/>
        <v>TBP</v>
      </c>
      <c r="AI92" s="6" t="str">
        <f t="shared" si="48"/>
        <v>TBP</v>
      </c>
      <c r="AK92" s="6" t="str">
        <f t="shared" si="49"/>
        <v>TBP</v>
      </c>
      <c r="AM92" s="6" t="str">
        <f t="shared" si="50"/>
        <v>TBP</v>
      </c>
      <c r="AO92" s="6" t="str">
        <f t="shared" si="51"/>
        <v>TBP</v>
      </c>
      <c r="AQ92" s="6" t="str">
        <f t="shared" si="52"/>
        <v>TBP</v>
      </c>
      <c r="AS92" s="6" t="str">
        <f t="shared" si="53"/>
        <v>TBP</v>
      </c>
      <c r="AU92" s="6" t="str">
        <f t="shared" si="54"/>
        <v>TBP</v>
      </c>
      <c r="AW92" s="6" t="str">
        <f t="shared" ref="AW92:AW108" si="55">IF(ISBLANK(K92),"TBP",IF(AV92=K92,"Matched","No Match"))</f>
        <v>TBP</v>
      </c>
    </row>
    <row r="93" spans="3:49" x14ac:dyDescent="0.35">
      <c r="C93" s="1" t="s">
        <v>225</v>
      </c>
      <c r="D93" s="1" t="s">
        <v>227</v>
      </c>
      <c r="E93" s="11"/>
      <c r="F93" s="1"/>
      <c r="G93" s="1" t="str">
        <f>K77</f>
        <v>Paraguay</v>
      </c>
      <c r="H93" s="1" t="s">
        <v>296</v>
      </c>
      <c r="I93" s="1">
        <v>89</v>
      </c>
      <c r="J93" s="1" t="s">
        <v>110</v>
      </c>
      <c r="K93" s="1"/>
      <c r="M93" s="1" t="str">
        <f t="shared" si="19"/>
        <v>TBP</v>
      </c>
      <c r="O93" s="1" t="str">
        <f t="shared" si="38"/>
        <v>TBP</v>
      </c>
      <c r="P93" s="1"/>
      <c r="Q93" s="1" t="str">
        <f t="shared" si="39"/>
        <v>TBP</v>
      </c>
      <c r="S93" s="6" t="str">
        <f t="shared" si="40"/>
        <v>TBP</v>
      </c>
      <c r="U93" s="6" t="str">
        <f t="shared" si="41"/>
        <v>TBP</v>
      </c>
      <c r="W93" s="6" t="str">
        <f t="shared" si="42"/>
        <v>TBP</v>
      </c>
      <c r="Y93" s="6" t="str">
        <f t="shared" si="43"/>
        <v>TBP</v>
      </c>
      <c r="AA93" s="6" t="str">
        <f t="shared" si="44"/>
        <v>TBP</v>
      </c>
      <c r="AC93" s="6" t="str">
        <f t="shared" si="45"/>
        <v>TBP</v>
      </c>
      <c r="AE93" s="6" t="str">
        <f t="shared" si="46"/>
        <v>TBP</v>
      </c>
      <c r="AG93" s="6" t="str">
        <f t="shared" si="47"/>
        <v>TBP</v>
      </c>
      <c r="AI93" s="6" t="str">
        <f t="shared" si="48"/>
        <v>TBP</v>
      </c>
      <c r="AK93" s="6" t="str">
        <f t="shared" si="49"/>
        <v>TBP</v>
      </c>
      <c r="AM93" s="6" t="str">
        <f t="shared" si="50"/>
        <v>TBP</v>
      </c>
      <c r="AO93" s="6" t="str">
        <f t="shared" si="51"/>
        <v>TBP</v>
      </c>
      <c r="AQ93" s="6" t="str">
        <f t="shared" si="52"/>
        <v>TBP</v>
      </c>
      <c r="AS93" s="6" t="str">
        <f t="shared" si="53"/>
        <v>TBP</v>
      </c>
      <c r="AU93" s="6" t="str">
        <f t="shared" si="54"/>
        <v>TBP</v>
      </c>
      <c r="AW93" s="6" t="str">
        <f t="shared" si="55"/>
        <v>TBP</v>
      </c>
    </row>
    <row r="94" spans="3:49" x14ac:dyDescent="0.35">
      <c r="C94" s="1" t="s">
        <v>225</v>
      </c>
      <c r="D94" s="1" t="s">
        <v>228</v>
      </c>
      <c r="E94" s="11"/>
      <c r="F94" s="1"/>
      <c r="G94" s="1" t="str">
        <f>K76</f>
        <v>Brazil</v>
      </c>
      <c r="H94" s="1" t="s">
        <v>297</v>
      </c>
      <c r="I94" s="1">
        <v>91</v>
      </c>
      <c r="J94" s="1" t="s">
        <v>84</v>
      </c>
      <c r="K94" s="1"/>
      <c r="M94" s="1" t="str">
        <f t="shared" si="19"/>
        <v>TBP</v>
      </c>
      <c r="O94" s="1" t="str">
        <f t="shared" si="38"/>
        <v>TBP</v>
      </c>
      <c r="P94" s="1"/>
      <c r="Q94" s="1" t="str">
        <f t="shared" si="39"/>
        <v>TBP</v>
      </c>
      <c r="S94" s="6" t="str">
        <f t="shared" si="40"/>
        <v>TBP</v>
      </c>
      <c r="U94" s="6" t="str">
        <f t="shared" si="41"/>
        <v>TBP</v>
      </c>
      <c r="W94" s="6" t="str">
        <f t="shared" si="42"/>
        <v>TBP</v>
      </c>
      <c r="Y94" s="6" t="str">
        <f t="shared" si="43"/>
        <v>TBP</v>
      </c>
      <c r="AA94" s="6" t="str">
        <f t="shared" si="44"/>
        <v>TBP</v>
      </c>
      <c r="AC94" s="6" t="str">
        <f t="shared" si="45"/>
        <v>TBP</v>
      </c>
      <c r="AE94" s="6" t="str">
        <f t="shared" si="46"/>
        <v>TBP</v>
      </c>
      <c r="AG94" s="6" t="str">
        <f t="shared" si="47"/>
        <v>TBP</v>
      </c>
      <c r="AI94" s="6" t="str">
        <f t="shared" si="48"/>
        <v>TBP</v>
      </c>
      <c r="AK94" s="6" t="str">
        <f t="shared" si="49"/>
        <v>TBP</v>
      </c>
      <c r="AM94" s="6" t="str">
        <f t="shared" si="50"/>
        <v>TBP</v>
      </c>
      <c r="AO94" s="6" t="str">
        <f t="shared" si="51"/>
        <v>TBP</v>
      </c>
      <c r="AQ94" s="6" t="str">
        <f t="shared" si="52"/>
        <v>TBP</v>
      </c>
      <c r="AS94" s="6" t="str">
        <f t="shared" si="53"/>
        <v>TBP</v>
      </c>
      <c r="AU94" s="6" t="str">
        <f t="shared" si="54"/>
        <v>TBP</v>
      </c>
      <c r="AW94" s="6" t="str">
        <f t="shared" si="55"/>
        <v>TBP</v>
      </c>
    </row>
    <row r="95" spans="3:49" x14ac:dyDescent="0.35">
      <c r="C95" s="1" t="s">
        <v>225</v>
      </c>
      <c r="D95" s="1" t="s">
        <v>229</v>
      </c>
      <c r="E95" s="11"/>
      <c r="F95" s="1"/>
      <c r="G95" s="1" t="s">
        <v>274</v>
      </c>
      <c r="H95" s="1" t="s">
        <v>275</v>
      </c>
      <c r="I95" s="1">
        <v>92</v>
      </c>
      <c r="J95" s="1" t="s">
        <v>53</v>
      </c>
      <c r="K95" s="1"/>
      <c r="M95" s="1" t="str">
        <f t="shared" si="19"/>
        <v>TBP</v>
      </c>
      <c r="O95" s="1" t="str">
        <f t="shared" si="38"/>
        <v>TBP</v>
      </c>
      <c r="P95" s="1"/>
      <c r="Q95" s="1" t="str">
        <f t="shared" si="39"/>
        <v>TBP</v>
      </c>
      <c r="S95" s="6" t="str">
        <f t="shared" si="40"/>
        <v>TBP</v>
      </c>
      <c r="U95" s="6" t="str">
        <f t="shared" si="41"/>
        <v>TBP</v>
      </c>
      <c r="W95" s="6" t="str">
        <f t="shared" si="42"/>
        <v>TBP</v>
      </c>
      <c r="Y95" s="6" t="str">
        <f t="shared" si="43"/>
        <v>TBP</v>
      </c>
      <c r="AA95" s="6" t="str">
        <f t="shared" si="44"/>
        <v>TBP</v>
      </c>
      <c r="AC95" s="6" t="str">
        <f t="shared" si="45"/>
        <v>TBP</v>
      </c>
      <c r="AE95" s="6" t="str">
        <f t="shared" si="46"/>
        <v>TBP</v>
      </c>
      <c r="AG95" s="6" t="str">
        <f t="shared" si="47"/>
        <v>TBP</v>
      </c>
      <c r="AI95" s="6" t="str">
        <f t="shared" si="48"/>
        <v>TBP</v>
      </c>
      <c r="AK95" s="6" t="str">
        <f t="shared" si="49"/>
        <v>TBP</v>
      </c>
      <c r="AM95" s="6" t="str">
        <f t="shared" si="50"/>
        <v>TBP</v>
      </c>
      <c r="AO95" s="6" t="str">
        <f t="shared" si="51"/>
        <v>TBP</v>
      </c>
      <c r="AQ95" s="6" t="str">
        <f t="shared" si="52"/>
        <v>TBP</v>
      </c>
      <c r="AS95" s="6" t="str">
        <f t="shared" si="53"/>
        <v>TBP</v>
      </c>
      <c r="AU95" s="6" t="str">
        <f t="shared" si="54"/>
        <v>TBP</v>
      </c>
      <c r="AW95" s="6" t="str">
        <f t="shared" si="55"/>
        <v>TBP</v>
      </c>
    </row>
    <row r="96" spans="3:49" x14ac:dyDescent="0.35">
      <c r="C96" s="1" t="s">
        <v>225</v>
      </c>
      <c r="D96" s="1" t="s">
        <v>230</v>
      </c>
      <c r="E96" s="11"/>
      <c r="F96" s="1"/>
      <c r="G96" s="1" t="s">
        <v>276</v>
      </c>
      <c r="H96" s="1" t="s">
        <v>277</v>
      </c>
      <c r="I96" s="1">
        <v>93</v>
      </c>
      <c r="J96" s="1" t="s">
        <v>105</v>
      </c>
      <c r="K96" s="1"/>
      <c r="M96" s="1" t="str">
        <f t="shared" si="19"/>
        <v>TBP</v>
      </c>
      <c r="O96" s="1" t="str">
        <f t="shared" si="38"/>
        <v>TBP</v>
      </c>
      <c r="P96" s="1"/>
      <c r="Q96" s="1" t="str">
        <f t="shared" si="39"/>
        <v>TBP</v>
      </c>
      <c r="S96" s="6" t="str">
        <f t="shared" si="40"/>
        <v>TBP</v>
      </c>
      <c r="U96" s="6" t="str">
        <f t="shared" si="41"/>
        <v>TBP</v>
      </c>
      <c r="W96" s="6" t="str">
        <f t="shared" si="42"/>
        <v>TBP</v>
      </c>
      <c r="Y96" s="6" t="str">
        <f t="shared" si="43"/>
        <v>TBP</v>
      </c>
      <c r="AA96" s="6" t="str">
        <f t="shared" si="44"/>
        <v>TBP</v>
      </c>
      <c r="AC96" s="6" t="str">
        <f t="shared" si="45"/>
        <v>TBP</v>
      </c>
      <c r="AE96" s="6" t="str">
        <f t="shared" si="46"/>
        <v>TBP</v>
      </c>
      <c r="AG96" s="6" t="str">
        <f t="shared" si="47"/>
        <v>TBP</v>
      </c>
      <c r="AI96" s="6" t="str">
        <f t="shared" si="48"/>
        <v>TBP</v>
      </c>
      <c r="AK96" s="6" t="str">
        <f t="shared" si="49"/>
        <v>TBP</v>
      </c>
      <c r="AM96" s="6" t="str">
        <f t="shared" si="50"/>
        <v>TBP</v>
      </c>
      <c r="AO96" s="6" t="str">
        <f t="shared" si="51"/>
        <v>TBP</v>
      </c>
      <c r="AQ96" s="6" t="str">
        <f t="shared" si="52"/>
        <v>TBP</v>
      </c>
      <c r="AS96" s="6" t="str">
        <f t="shared" si="53"/>
        <v>TBP</v>
      </c>
      <c r="AU96" s="6" t="str">
        <f t="shared" si="54"/>
        <v>TBP</v>
      </c>
      <c r="AW96" s="6" t="str">
        <f t="shared" si="55"/>
        <v>TBP</v>
      </c>
    </row>
    <row r="97" spans="3:49" x14ac:dyDescent="0.35">
      <c r="C97" s="1" t="s">
        <v>225</v>
      </c>
      <c r="D97" s="1" t="s">
        <v>231</v>
      </c>
      <c r="E97" s="11"/>
      <c r="F97" s="1"/>
      <c r="G97" s="1" t="s">
        <v>278</v>
      </c>
      <c r="H97" s="1" t="s">
        <v>279</v>
      </c>
      <c r="I97" s="1">
        <v>94</v>
      </c>
      <c r="J97" s="1" t="s">
        <v>124</v>
      </c>
      <c r="K97" s="1"/>
      <c r="M97" s="1" t="str">
        <f t="shared" si="19"/>
        <v>TBP</v>
      </c>
      <c r="O97" s="1" t="str">
        <f t="shared" si="38"/>
        <v>TBP</v>
      </c>
      <c r="P97" s="1"/>
      <c r="Q97" s="1" t="str">
        <f t="shared" si="39"/>
        <v>TBP</v>
      </c>
      <c r="S97" s="6" t="str">
        <f t="shared" si="40"/>
        <v>TBP</v>
      </c>
      <c r="U97" s="6" t="str">
        <f t="shared" si="41"/>
        <v>TBP</v>
      </c>
      <c r="W97" s="6" t="str">
        <f t="shared" si="42"/>
        <v>TBP</v>
      </c>
      <c r="Y97" s="6" t="str">
        <f t="shared" si="43"/>
        <v>TBP</v>
      </c>
      <c r="AA97" s="6" t="str">
        <f t="shared" si="44"/>
        <v>TBP</v>
      </c>
      <c r="AC97" s="6" t="str">
        <f t="shared" si="45"/>
        <v>TBP</v>
      </c>
      <c r="AE97" s="6" t="str">
        <f t="shared" si="46"/>
        <v>TBP</v>
      </c>
      <c r="AG97" s="6" t="str">
        <f t="shared" si="47"/>
        <v>TBP</v>
      </c>
      <c r="AI97" s="6" t="str">
        <f t="shared" si="48"/>
        <v>TBP</v>
      </c>
      <c r="AK97" s="6" t="str">
        <f t="shared" si="49"/>
        <v>TBP</v>
      </c>
      <c r="AM97" s="6" t="str">
        <f t="shared" si="50"/>
        <v>TBP</v>
      </c>
      <c r="AO97" s="6" t="str">
        <f t="shared" si="51"/>
        <v>TBP</v>
      </c>
      <c r="AQ97" s="6" t="str">
        <f t="shared" si="52"/>
        <v>TBP</v>
      </c>
      <c r="AS97" s="6" t="str">
        <f t="shared" si="53"/>
        <v>TBP</v>
      </c>
      <c r="AU97" s="6" t="str">
        <f t="shared" si="54"/>
        <v>TBP</v>
      </c>
      <c r="AW97" s="6" t="str">
        <f t="shared" si="55"/>
        <v>TBP</v>
      </c>
    </row>
    <row r="98" spans="3:49" x14ac:dyDescent="0.35">
      <c r="C98" s="1" t="s">
        <v>225</v>
      </c>
      <c r="D98" s="1" t="s">
        <v>232</v>
      </c>
      <c r="E98" s="11"/>
      <c r="F98" s="1"/>
      <c r="G98" s="1" t="s">
        <v>280</v>
      </c>
      <c r="H98" s="1" t="s">
        <v>281</v>
      </c>
      <c r="I98" s="1">
        <v>95</v>
      </c>
      <c r="J98" s="1" t="s">
        <v>119</v>
      </c>
      <c r="K98" s="1"/>
      <c r="M98" s="1" t="str">
        <f t="shared" si="19"/>
        <v>TBP</v>
      </c>
      <c r="O98" s="1" t="str">
        <f t="shared" si="38"/>
        <v>TBP</v>
      </c>
      <c r="P98" s="1"/>
      <c r="Q98" s="1" t="str">
        <f t="shared" si="39"/>
        <v>TBP</v>
      </c>
      <c r="S98" s="6" t="str">
        <f t="shared" si="40"/>
        <v>TBP</v>
      </c>
      <c r="U98" s="6" t="str">
        <f t="shared" si="41"/>
        <v>TBP</v>
      </c>
      <c r="W98" s="6" t="str">
        <f t="shared" si="42"/>
        <v>TBP</v>
      </c>
      <c r="Y98" s="6" t="str">
        <f t="shared" si="43"/>
        <v>TBP</v>
      </c>
      <c r="AA98" s="6" t="str">
        <f t="shared" si="44"/>
        <v>TBP</v>
      </c>
      <c r="AC98" s="6" t="str">
        <f t="shared" si="45"/>
        <v>TBP</v>
      </c>
      <c r="AE98" s="6" t="str">
        <f t="shared" si="46"/>
        <v>TBP</v>
      </c>
      <c r="AG98" s="6" t="str">
        <f t="shared" si="47"/>
        <v>TBP</v>
      </c>
      <c r="AI98" s="6" t="str">
        <f t="shared" si="48"/>
        <v>TBP</v>
      </c>
      <c r="AK98" s="6" t="str">
        <f t="shared" si="49"/>
        <v>TBP</v>
      </c>
      <c r="AM98" s="6" t="str">
        <f t="shared" si="50"/>
        <v>TBP</v>
      </c>
      <c r="AO98" s="6" t="str">
        <f t="shared" si="51"/>
        <v>TBP</v>
      </c>
      <c r="AQ98" s="6" t="str">
        <f t="shared" si="52"/>
        <v>TBP</v>
      </c>
      <c r="AS98" s="6" t="str">
        <f t="shared" si="53"/>
        <v>TBP</v>
      </c>
      <c r="AU98" s="6" t="str">
        <f t="shared" si="54"/>
        <v>TBP</v>
      </c>
      <c r="AW98" s="6" t="str">
        <f t="shared" si="55"/>
        <v>TBP</v>
      </c>
    </row>
    <row r="99" spans="3:49" x14ac:dyDescent="0.35">
      <c r="C99" s="1" t="s">
        <v>225</v>
      </c>
      <c r="D99" s="1" t="s">
        <v>233</v>
      </c>
      <c r="E99" s="11"/>
      <c r="F99" s="1"/>
      <c r="G99" s="1" t="s">
        <v>282</v>
      </c>
      <c r="H99" s="1" t="s">
        <v>283</v>
      </c>
      <c r="I99" s="1">
        <v>96</v>
      </c>
      <c r="J99" s="1" t="s">
        <v>94</v>
      </c>
      <c r="K99" s="1"/>
      <c r="M99" s="1" t="str">
        <f t="shared" si="19"/>
        <v>TBP</v>
      </c>
      <c r="O99" s="1" t="str">
        <f t="shared" si="38"/>
        <v>TBP</v>
      </c>
      <c r="P99" s="1"/>
      <c r="Q99" s="1" t="str">
        <f t="shared" si="39"/>
        <v>TBP</v>
      </c>
      <c r="S99" s="6" t="str">
        <f t="shared" si="40"/>
        <v>TBP</v>
      </c>
      <c r="U99" s="6" t="str">
        <f t="shared" si="41"/>
        <v>TBP</v>
      </c>
      <c r="W99" s="6" t="str">
        <f t="shared" si="42"/>
        <v>TBP</v>
      </c>
      <c r="Y99" s="6" t="str">
        <f t="shared" si="43"/>
        <v>TBP</v>
      </c>
      <c r="AA99" s="6" t="str">
        <f t="shared" si="44"/>
        <v>TBP</v>
      </c>
      <c r="AC99" s="6" t="str">
        <f t="shared" si="45"/>
        <v>TBP</v>
      </c>
      <c r="AE99" s="6" t="str">
        <f t="shared" si="46"/>
        <v>TBP</v>
      </c>
      <c r="AG99" s="6" t="str">
        <f t="shared" si="47"/>
        <v>TBP</v>
      </c>
      <c r="AI99" s="6" t="str">
        <f t="shared" si="48"/>
        <v>TBP</v>
      </c>
      <c r="AK99" s="6" t="str">
        <f t="shared" si="49"/>
        <v>TBP</v>
      </c>
      <c r="AM99" s="6" t="str">
        <f t="shared" si="50"/>
        <v>TBP</v>
      </c>
      <c r="AO99" s="6" t="str">
        <f t="shared" si="51"/>
        <v>TBP</v>
      </c>
      <c r="AQ99" s="6" t="str">
        <f t="shared" si="52"/>
        <v>TBP</v>
      </c>
      <c r="AS99" s="6" t="str">
        <f t="shared" si="53"/>
        <v>TBP</v>
      </c>
      <c r="AU99" s="6" t="str">
        <f t="shared" si="54"/>
        <v>TBP</v>
      </c>
      <c r="AW99" s="6" t="str">
        <f t="shared" si="55"/>
        <v>TBP</v>
      </c>
    </row>
    <row r="100" spans="3:49" x14ac:dyDescent="0.35">
      <c r="C100" s="1"/>
      <c r="D100" s="1"/>
      <c r="E100" s="11"/>
      <c r="F100" s="1"/>
      <c r="G100" s="1"/>
      <c r="H100" s="1"/>
      <c r="I100" s="1"/>
      <c r="J100" s="1"/>
      <c r="K100" s="1"/>
      <c r="M100" s="1" t="str">
        <f t="shared" si="19"/>
        <v>TBP</v>
      </c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5"/>
        <v>TBP</v>
      </c>
    </row>
    <row r="101" spans="3:49" x14ac:dyDescent="0.35">
      <c r="C101" s="1" t="s">
        <v>234</v>
      </c>
      <c r="D101" s="1" t="s">
        <v>235</v>
      </c>
      <c r="E101" s="11"/>
      <c r="F101" s="1"/>
      <c r="G101" s="1" t="s">
        <v>284</v>
      </c>
      <c r="H101" s="1" t="s">
        <v>285</v>
      </c>
      <c r="I101" s="1">
        <v>97</v>
      </c>
      <c r="J101" s="1" t="s">
        <v>88</v>
      </c>
      <c r="K101" s="1"/>
      <c r="M101" s="1" t="str">
        <f t="shared" si="19"/>
        <v>TBP</v>
      </c>
      <c r="O101" s="1" t="str">
        <f t="shared" si="38"/>
        <v>TBP</v>
      </c>
      <c r="P101" s="1"/>
      <c r="Q101" s="1" t="str">
        <f t="shared" si="39"/>
        <v>TBP</v>
      </c>
      <c r="S101" s="6" t="str">
        <f t="shared" si="40"/>
        <v>TBP</v>
      </c>
      <c r="U101" s="6" t="str">
        <f t="shared" si="41"/>
        <v>TBP</v>
      </c>
      <c r="W101" s="6" t="str">
        <f t="shared" si="42"/>
        <v>TBP</v>
      </c>
      <c r="Y101" s="6" t="str">
        <f t="shared" si="43"/>
        <v>TBP</v>
      </c>
      <c r="AA101" s="6" t="str">
        <f t="shared" si="44"/>
        <v>TBP</v>
      </c>
      <c r="AC101" s="6" t="str">
        <f t="shared" si="45"/>
        <v>TBP</v>
      </c>
      <c r="AE101" s="6" t="str">
        <f t="shared" si="46"/>
        <v>TBP</v>
      </c>
      <c r="AG101" s="6" t="str">
        <f t="shared" si="47"/>
        <v>TBP</v>
      </c>
      <c r="AI101" s="6" t="str">
        <f t="shared" si="48"/>
        <v>TBP</v>
      </c>
      <c r="AK101" s="6" t="str">
        <f t="shared" si="49"/>
        <v>TBP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S101" s="6" t="str">
        <f t="shared" si="53"/>
        <v>TBP</v>
      </c>
      <c r="AU101" s="6" t="str">
        <f t="shared" si="54"/>
        <v>TBP</v>
      </c>
      <c r="AW101" s="6" t="str">
        <f t="shared" si="55"/>
        <v>TBP</v>
      </c>
    </row>
    <row r="102" spans="3:49" x14ac:dyDescent="0.35">
      <c r="C102" s="1" t="s">
        <v>234</v>
      </c>
      <c r="D102" s="1" t="s">
        <v>236</v>
      </c>
      <c r="E102" s="11"/>
      <c r="F102" s="1"/>
      <c r="G102" s="1" t="s">
        <v>286</v>
      </c>
      <c r="H102" s="1" t="s">
        <v>287</v>
      </c>
      <c r="I102" s="1">
        <v>98</v>
      </c>
      <c r="J102" s="1" t="s">
        <v>171</v>
      </c>
      <c r="K102" s="1"/>
      <c r="M102" s="1" t="str">
        <f t="shared" si="19"/>
        <v>TBP</v>
      </c>
      <c r="O102" s="1" t="str">
        <f t="shared" si="38"/>
        <v>TBP</v>
      </c>
      <c r="P102" s="1"/>
      <c r="Q102" s="1" t="str">
        <f t="shared" si="39"/>
        <v>TBP</v>
      </c>
      <c r="S102" s="6" t="str">
        <f t="shared" si="40"/>
        <v>TBP</v>
      </c>
      <c r="U102" s="6" t="str">
        <f t="shared" si="41"/>
        <v>TBP</v>
      </c>
      <c r="W102" s="6" t="str">
        <f t="shared" si="42"/>
        <v>TBP</v>
      </c>
      <c r="Y102" s="6" t="str">
        <f t="shared" si="43"/>
        <v>TBP</v>
      </c>
      <c r="AA102" s="6" t="str">
        <f t="shared" si="44"/>
        <v>TBP</v>
      </c>
      <c r="AC102" s="6" t="str">
        <f t="shared" si="45"/>
        <v>TBP</v>
      </c>
      <c r="AE102" s="6" t="str">
        <f t="shared" si="46"/>
        <v>TBP</v>
      </c>
      <c r="AG102" s="6" t="str">
        <f t="shared" si="47"/>
        <v>TBP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S102" s="6" t="str">
        <f t="shared" si="53"/>
        <v>TBP</v>
      </c>
      <c r="AU102" s="6" t="str">
        <f t="shared" si="54"/>
        <v>TBP</v>
      </c>
      <c r="AW102" s="6" t="str">
        <f t="shared" si="55"/>
        <v>TBP</v>
      </c>
    </row>
    <row r="103" spans="3:49" x14ac:dyDescent="0.35">
      <c r="C103" s="1" t="s">
        <v>234</v>
      </c>
      <c r="D103" s="1" t="s">
        <v>237</v>
      </c>
      <c r="E103" s="11"/>
      <c r="F103" s="1"/>
      <c r="G103" s="1" t="s">
        <v>288</v>
      </c>
      <c r="H103" s="1" t="s">
        <v>289</v>
      </c>
      <c r="I103" s="1">
        <v>99</v>
      </c>
      <c r="J103" s="1" t="s">
        <v>128</v>
      </c>
      <c r="K103" s="1"/>
      <c r="M103" s="1" t="str">
        <f t="shared" si="19"/>
        <v>TBP</v>
      </c>
      <c r="O103" s="1" t="str">
        <f t="shared" si="38"/>
        <v>TBP</v>
      </c>
      <c r="P103" s="1"/>
      <c r="Q103" s="1" t="str">
        <f t="shared" si="39"/>
        <v>TBP</v>
      </c>
      <c r="S103" s="6" t="str">
        <f t="shared" si="40"/>
        <v>TBP</v>
      </c>
      <c r="U103" s="6" t="str">
        <f t="shared" si="41"/>
        <v>TBP</v>
      </c>
      <c r="W103" s="6" t="str">
        <f t="shared" si="42"/>
        <v>TBP</v>
      </c>
      <c r="Y103" s="6" t="str">
        <f t="shared" si="43"/>
        <v>TBP</v>
      </c>
      <c r="AA103" s="6" t="str">
        <f t="shared" si="44"/>
        <v>TBP</v>
      </c>
      <c r="AC103" s="6" t="str">
        <f t="shared" si="45"/>
        <v>TBP</v>
      </c>
      <c r="AE103" s="6" t="str">
        <f t="shared" si="46"/>
        <v>TBP</v>
      </c>
      <c r="AG103" s="6" t="str">
        <f t="shared" si="47"/>
        <v>TBP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O103" s="6" t="str">
        <f t="shared" si="51"/>
        <v>TBP</v>
      </c>
      <c r="AQ103" s="6" t="str">
        <f t="shared" si="52"/>
        <v>TBP</v>
      </c>
      <c r="AS103" s="6" t="str">
        <f t="shared" si="53"/>
        <v>TBP</v>
      </c>
      <c r="AU103" s="6" t="str">
        <f t="shared" si="54"/>
        <v>TBP</v>
      </c>
      <c r="AW103" s="6" t="str">
        <f t="shared" si="55"/>
        <v>TBP</v>
      </c>
    </row>
    <row r="104" spans="3:49" x14ac:dyDescent="0.35">
      <c r="C104" s="1" t="s">
        <v>234</v>
      </c>
      <c r="D104" s="1" t="s">
        <v>238</v>
      </c>
      <c r="E104" s="11"/>
      <c r="F104" s="1"/>
      <c r="G104" s="1" t="s">
        <v>290</v>
      </c>
      <c r="H104" s="1" t="s">
        <v>291</v>
      </c>
      <c r="I104" s="1">
        <v>100</v>
      </c>
      <c r="J104" s="1" t="s">
        <v>140</v>
      </c>
      <c r="K104" s="1"/>
      <c r="M104" s="1" t="str">
        <f t="shared" si="19"/>
        <v>TBP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W104" s="6" t="str">
        <f t="shared" si="55"/>
        <v>TBP</v>
      </c>
    </row>
    <row r="105" spans="3:49" x14ac:dyDescent="0.35">
      <c r="C105" s="1" t="s">
        <v>239</v>
      </c>
      <c r="D105" s="1" t="s">
        <v>240</v>
      </c>
      <c r="E105" s="11"/>
      <c r="F105" s="1"/>
      <c r="G105" s="1" t="s">
        <v>292</v>
      </c>
      <c r="H105" s="1" t="s">
        <v>293</v>
      </c>
      <c r="I105" s="1">
        <v>101</v>
      </c>
      <c r="J105" s="1" t="s">
        <v>105</v>
      </c>
      <c r="K105" s="1"/>
      <c r="M105" s="1" t="str">
        <f t="shared" si="19"/>
        <v>TBP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5"/>
        <v>TBP</v>
      </c>
    </row>
    <row r="106" spans="3:49" x14ac:dyDescent="0.35">
      <c r="C106" s="1" t="s">
        <v>239</v>
      </c>
      <c r="D106" s="1" t="s">
        <v>241</v>
      </c>
      <c r="E106" s="11"/>
      <c r="F106" s="1"/>
      <c r="G106" s="1" t="s">
        <v>294</v>
      </c>
      <c r="H106" s="1" t="s">
        <v>295</v>
      </c>
      <c r="I106" s="1">
        <v>102</v>
      </c>
      <c r="J106" s="1" t="s">
        <v>119</v>
      </c>
      <c r="K106" s="1"/>
      <c r="M106" s="1" t="str">
        <f t="shared" si="19"/>
        <v>TBP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5"/>
        <v>TBP</v>
      </c>
    </row>
    <row r="107" spans="3:49" x14ac:dyDescent="0.35">
      <c r="C107" s="1" t="s">
        <v>242</v>
      </c>
      <c r="D107" s="1" t="s">
        <v>243</v>
      </c>
      <c r="E107" s="11"/>
      <c r="F107" s="1"/>
      <c r="G107" s="1" t="s">
        <v>244</v>
      </c>
      <c r="H107" s="1" t="s">
        <v>245</v>
      </c>
      <c r="I107" s="1">
        <v>103</v>
      </c>
      <c r="J107" s="1" t="s">
        <v>128</v>
      </c>
      <c r="K107" s="1"/>
      <c r="M107" s="1" t="str">
        <f t="shared" si="19"/>
        <v>TBP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5"/>
        <v>TBP</v>
      </c>
    </row>
    <row r="108" spans="3:49" x14ac:dyDescent="0.35">
      <c r="C108" s="1" t="s">
        <v>246</v>
      </c>
      <c r="D108" s="1" t="s">
        <v>247</v>
      </c>
      <c r="E108" s="11"/>
      <c r="F108" s="1"/>
      <c r="G108" s="1" t="s">
        <v>248</v>
      </c>
      <c r="H108" s="1" t="s">
        <v>249</v>
      </c>
      <c r="I108" s="1">
        <v>104</v>
      </c>
      <c r="J108" s="1" t="s">
        <v>84</v>
      </c>
      <c r="K108" s="1"/>
      <c r="M108" s="1" t="str">
        <f t="shared" si="19"/>
        <v>TBP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5"/>
        <v>TBP</v>
      </c>
    </row>
    <row r="110" spans="3:49" x14ac:dyDescent="0.35">
      <c r="M110" s="6">
        <f>COUNTIF(M75:M108, "Matched")</f>
        <v>2</v>
      </c>
      <c r="O110" s="6">
        <f>COUNTIF(O75:O108, "Matched")</f>
        <v>0</v>
      </c>
      <c r="Q110" s="6">
        <f>COUNTIF(Q75:Q108, "Matched")</f>
        <v>2</v>
      </c>
      <c r="S110" s="6">
        <f>COUNTIF(S75:S108, "Matched")</f>
        <v>1</v>
      </c>
      <c r="U110" s="6">
        <f>COUNTIF(U75:U108, "Matched")</f>
        <v>1</v>
      </c>
      <c r="W110" s="6">
        <f>COUNTIF(W75:W108, "Matched")</f>
        <v>1</v>
      </c>
      <c r="Y110" s="6">
        <f>COUNTIF(Y75:Y108, "Matched")</f>
        <v>1</v>
      </c>
      <c r="AA110" s="6">
        <f>COUNTIF(AA75:AA108, "Matched")</f>
        <v>1</v>
      </c>
      <c r="AC110" s="6">
        <f>COUNTIF(AC75:AC108, "Matched")</f>
        <v>1</v>
      </c>
      <c r="AE110" s="6">
        <f>COUNTIF(AE75:AE108, "Matched")</f>
        <v>1</v>
      </c>
      <c r="AG110" s="6">
        <f>COUNTIF(AG75:AG108, "Matched")</f>
        <v>0</v>
      </c>
      <c r="AI110" s="6">
        <f>COUNTIF(AI75:AI108, "Matched")</f>
        <v>1</v>
      </c>
      <c r="AK110" s="6">
        <f>COUNTIF(AK75:AK108, "Matched")</f>
        <v>2</v>
      </c>
      <c r="AM110" s="6">
        <f>COUNTIF(AM75:AM108, "Matched")</f>
        <v>1</v>
      </c>
      <c r="AO110" s="6">
        <f>COUNTIF(AO75:AO108, "Matched")</f>
        <v>2</v>
      </c>
      <c r="AQ110" s="6">
        <f>COUNTIF(AQ75:AQ108, "Matched")</f>
        <v>3</v>
      </c>
      <c r="AS110" s="6">
        <f>COUNTIF(AS75:AS108, "Matched")</f>
        <v>1</v>
      </c>
      <c r="AU110" s="6">
        <f>COUNTIF(AU75:AU108, "Matched")</f>
        <v>1</v>
      </c>
      <c r="AW110" s="6">
        <f>COUNTIF(AW75:AW108, "Matched")</f>
        <v>0</v>
      </c>
    </row>
    <row r="111" spans="3:49" x14ac:dyDescent="0.35">
      <c r="C111" s="27" t="s">
        <v>250</v>
      </c>
      <c r="M111" s="27">
        <f>M74+M110</f>
        <v>39</v>
      </c>
      <c r="O111" s="27">
        <f>O74+O110</f>
        <v>44</v>
      </c>
      <c r="Q111" s="27">
        <f>Q74+Q110</f>
        <v>43</v>
      </c>
      <c r="S111" s="27">
        <f>S74+S110</f>
        <v>44</v>
      </c>
      <c r="U111" s="27">
        <f>U74+U110</f>
        <v>42</v>
      </c>
      <c r="W111" s="27">
        <f>W74+W110</f>
        <v>45</v>
      </c>
      <c r="Y111" s="27">
        <f>Y74+Y110</f>
        <v>46</v>
      </c>
      <c r="AA111" s="27">
        <f>AA74+AA110</f>
        <v>38</v>
      </c>
      <c r="AC111" s="27">
        <f>AC74+AC110</f>
        <v>45</v>
      </c>
      <c r="AE111" s="27">
        <f>AE74+AE110</f>
        <v>45</v>
      </c>
      <c r="AG111" s="27">
        <f>AG74+AG110</f>
        <v>44</v>
      </c>
      <c r="AI111" s="27">
        <f>AI74+AI110</f>
        <v>44</v>
      </c>
      <c r="AK111" s="27">
        <f>AK74+AK110</f>
        <v>44</v>
      </c>
      <c r="AM111" s="27">
        <f>AM74+AM110</f>
        <v>47</v>
      </c>
      <c r="AO111" s="27">
        <f>AO74+AO110</f>
        <v>48</v>
      </c>
      <c r="AQ111" s="27">
        <f>AQ74+AQ110</f>
        <v>42</v>
      </c>
      <c r="AS111" s="27">
        <f>AS74+AS110</f>
        <v>50</v>
      </c>
      <c r="AU111" s="27">
        <f>AU74+AU110</f>
        <v>45</v>
      </c>
      <c r="AW111" s="27">
        <f>AW74+AW110</f>
        <v>42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86 AW88:AW89 AW91:AW1048576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5" x14ac:dyDescent="0.35"/>
  <cols>
    <col min="1" max="1" width="15.81640625" customWidth="1"/>
    <col min="2" max="2" width="12.81640625" customWidth="1"/>
    <col min="4" max="4" width="27.1796875" customWidth="1"/>
    <col min="7" max="7" width="11.1796875" bestFit="1" customWidth="1"/>
  </cols>
  <sheetData>
    <row r="1" spans="1:8" x14ac:dyDescent="0.35">
      <c r="A1" t="s">
        <v>251</v>
      </c>
      <c r="B1" t="s">
        <v>252</v>
      </c>
      <c r="D1" s="1" t="s">
        <v>48</v>
      </c>
      <c r="E1" s="2">
        <v>1</v>
      </c>
      <c r="G1" s="2" t="s">
        <v>253</v>
      </c>
      <c r="H1" s="2">
        <v>6</v>
      </c>
    </row>
    <row r="2" spans="1:8" x14ac:dyDescent="0.35">
      <c r="A2" s="7" t="s">
        <v>254</v>
      </c>
      <c r="B2" s="7" t="s">
        <v>255</v>
      </c>
      <c r="D2" s="1" t="s">
        <v>54</v>
      </c>
      <c r="E2" s="2">
        <v>2</v>
      </c>
      <c r="G2" s="2" t="s">
        <v>256</v>
      </c>
      <c r="H2" s="2">
        <v>6</v>
      </c>
    </row>
    <row r="3" spans="1:8" x14ac:dyDescent="0.35">
      <c r="A3" s="7" t="s">
        <v>257</v>
      </c>
      <c r="B3" t="s">
        <v>255</v>
      </c>
      <c r="D3" s="1" t="s">
        <v>60</v>
      </c>
      <c r="E3" s="2">
        <v>3</v>
      </c>
      <c r="G3" s="2" t="s">
        <v>257</v>
      </c>
      <c r="H3" s="2">
        <v>5</v>
      </c>
    </row>
    <row r="4" spans="1:8" x14ac:dyDescent="0.35">
      <c r="A4" s="7" t="s">
        <v>258</v>
      </c>
      <c r="B4" s="7" t="s">
        <v>255</v>
      </c>
      <c r="D4" s="1" t="s">
        <v>67</v>
      </c>
      <c r="E4" s="2">
        <v>4</v>
      </c>
      <c r="G4" s="2" t="s">
        <v>258</v>
      </c>
      <c r="H4" s="2">
        <v>5</v>
      </c>
    </row>
    <row r="5" spans="1:8" x14ac:dyDescent="0.35">
      <c r="A5" s="7" t="s">
        <v>259</v>
      </c>
      <c r="B5" s="7" t="s">
        <v>255</v>
      </c>
      <c r="D5" s="1" t="s">
        <v>74</v>
      </c>
      <c r="E5" s="2">
        <v>5</v>
      </c>
      <c r="G5" s="2" t="s">
        <v>259</v>
      </c>
      <c r="H5" s="2">
        <v>5</v>
      </c>
    </row>
    <row r="6" spans="1:8" x14ac:dyDescent="0.35">
      <c r="A6" s="7" t="s">
        <v>260</v>
      </c>
      <c r="B6" s="7" t="s">
        <v>255</v>
      </c>
      <c r="D6" s="1" t="s">
        <v>79</v>
      </c>
      <c r="E6" s="2">
        <v>6</v>
      </c>
      <c r="G6" s="2" t="s">
        <v>260</v>
      </c>
      <c r="H6" s="2">
        <v>5</v>
      </c>
    </row>
    <row r="7" spans="1:8" x14ac:dyDescent="0.35">
      <c r="A7" s="7" t="s">
        <v>261</v>
      </c>
      <c r="B7" s="7" t="s">
        <v>255</v>
      </c>
      <c r="D7" s="1" t="s">
        <v>83</v>
      </c>
      <c r="E7" s="2">
        <v>7</v>
      </c>
      <c r="G7" s="2" t="s">
        <v>261</v>
      </c>
      <c r="H7" s="2">
        <v>5</v>
      </c>
    </row>
    <row r="8" spans="1:8" x14ac:dyDescent="0.35">
      <c r="A8" t="s">
        <v>262</v>
      </c>
      <c r="B8" s="7"/>
      <c r="D8" s="1" t="s">
        <v>89</v>
      </c>
      <c r="E8" s="2">
        <v>8</v>
      </c>
      <c r="G8" s="2" t="s">
        <v>263</v>
      </c>
      <c r="H8" s="2">
        <v>5</v>
      </c>
    </row>
    <row r="9" spans="1:8" x14ac:dyDescent="0.35">
      <c r="A9" s="7" t="s">
        <v>263</v>
      </c>
      <c r="B9" s="7" t="s">
        <v>255</v>
      </c>
      <c r="D9" s="1" t="s">
        <v>96</v>
      </c>
      <c r="E9" s="2">
        <v>9</v>
      </c>
      <c r="G9" s="2" t="s">
        <v>264</v>
      </c>
      <c r="H9" s="2">
        <v>5</v>
      </c>
    </row>
    <row r="10" spans="1:8" x14ac:dyDescent="0.35">
      <c r="A10" s="7" t="s">
        <v>253</v>
      </c>
      <c r="B10" s="7" t="s">
        <v>255</v>
      </c>
      <c r="D10" s="1" t="s">
        <v>99</v>
      </c>
      <c r="E10" s="2">
        <v>10</v>
      </c>
      <c r="G10" s="2" t="s">
        <v>265</v>
      </c>
      <c r="H10" s="2">
        <v>5</v>
      </c>
    </row>
    <row r="11" spans="1:8" x14ac:dyDescent="0.35">
      <c r="A11" s="7" t="s">
        <v>266</v>
      </c>
      <c r="B11" s="7" t="s">
        <v>255</v>
      </c>
      <c r="D11" s="1" t="s">
        <v>106</v>
      </c>
      <c r="E11" s="2">
        <v>11</v>
      </c>
      <c r="G11" s="2" t="s">
        <v>267</v>
      </c>
      <c r="H11" s="2">
        <v>5</v>
      </c>
    </row>
    <row r="12" spans="1:8" x14ac:dyDescent="0.35">
      <c r="A12" s="7" t="s">
        <v>268</v>
      </c>
      <c r="B12" s="7" t="s">
        <v>255</v>
      </c>
      <c r="D12" s="1" t="s">
        <v>111</v>
      </c>
      <c r="E12" s="2">
        <v>13</v>
      </c>
      <c r="G12" s="2" t="s">
        <v>269</v>
      </c>
      <c r="H12" s="2">
        <v>5</v>
      </c>
    </row>
    <row r="13" spans="1:8" x14ac:dyDescent="0.35">
      <c r="A13" s="7" t="s">
        <v>270</v>
      </c>
      <c r="B13" s="7" t="s">
        <v>255</v>
      </c>
      <c r="D13" s="1" t="s">
        <v>51</v>
      </c>
      <c r="E13" s="2">
        <v>14</v>
      </c>
      <c r="G13" s="2" t="s">
        <v>266</v>
      </c>
      <c r="H13" s="2">
        <v>4</v>
      </c>
    </row>
    <row r="14" spans="1:8" x14ac:dyDescent="0.35">
      <c r="A14" s="7" t="s">
        <v>271</v>
      </c>
      <c r="B14" s="7" t="s">
        <v>255</v>
      </c>
      <c r="D14" s="1" t="s">
        <v>120</v>
      </c>
      <c r="E14" s="2">
        <v>15</v>
      </c>
      <c r="G14" s="2" t="s">
        <v>268</v>
      </c>
      <c r="H14" s="2">
        <v>4</v>
      </c>
    </row>
    <row r="15" spans="1:8" x14ac:dyDescent="0.35">
      <c r="A15" s="7" t="s">
        <v>264</v>
      </c>
      <c r="B15" s="7" t="s">
        <v>255</v>
      </c>
      <c r="D15" s="1" t="s">
        <v>71</v>
      </c>
      <c r="E15" s="2">
        <v>16</v>
      </c>
      <c r="G15" s="2" t="s">
        <v>270</v>
      </c>
      <c r="H15" s="2">
        <v>4</v>
      </c>
    </row>
    <row r="16" spans="1:8" x14ac:dyDescent="0.35">
      <c r="A16" s="7" t="s">
        <v>265</v>
      </c>
      <c r="B16" s="7" t="s">
        <v>255</v>
      </c>
      <c r="D16" s="1" t="s">
        <v>127</v>
      </c>
      <c r="E16" s="2">
        <v>17</v>
      </c>
      <c r="G16" s="2" t="s">
        <v>272</v>
      </c>
      <c r="H16" s="2">
        <v>4</v>
      </c>
    </row>
    <row r="17" spans="1:8" x14ac:dyDescent="0.35">
      <c r="A17" s="7" t="s">
        <v>272</v>
      </c>
      <c r="B17" s="7" t="s">
        <v>255</v>
      </c>
      <c r="D17" s="1" t="s">
        <v>104</v>
      </c>
      <c r="E17" s="2">
        <v>18</v>
      </c>
      <c r="G17" s="2" t="s">
        <v>254</v>
      </c>
      <c r="H17" s="2">
        <v>3</v>
      </c>
    </row>
    <row r="18" spans="1:8" x14ac:dyDescent="0.35">
      <c r="A18" s="7" t="s">
        <v>256</v>
      </c>
      <c r="B18" s="7" t="s">
        <v>255</v>
      </c>
      <c r="D18" s="1" t="s">
        <v>77</v>
      </c>
      <c r="E18" s="2">
        <v>19</v>
      </c>
      <c r="G18" s="2" t="s">
        <v>271</v>
      </c>
      <c r="H18" s="2">
        <v>3</v>
      </c>
    </row>
    <row r="19" spans="1:8" x14ac:dyDescent="0.35">
      <c r="A19" s="7" t="s">
        <v>267</v>
      </c>
      <c r="B19" s="7" t="s">
        <v>255</v>
      </c>
      <c r="D19" s="1" t="s">
        <v>130</v>
      </c>
      <c r="E19" s="2">
        <v>20</v>
      </c>
      <c r="G19" s="2" t="s">
        <v>262</v>
      </c>
      <c r="H19" s="2">
        <v>2</v>
      </c>
    </row>
    <row r="20" spans="1:8" x14ac:dyDescent="0.35">
      <c r="A20" s="7" t="s">
        <v>269</v>
      </c>
      <c r="B20" s="7" t="s">
        <v>255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273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89BE2C-0FFF-4390-9E78-D618C70A35A4}">
  <ds:schemaRefs>
    <ds:schemaRef ds:uri="http://schemas.microsoft.com/office/2006/metadata/properties"/>
    <ds:schemaRef ds:uri="http://schemas.microsoft.com/sharepoint/v3/fields"/>
    <ds:schemaRef ds:uri="http://purl.org/dc/terms/"/>
    <ds:schemaRef ds:uri="37513636-cd07-4f62-aa39-05d899fa6391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http://schemas.microsoft.com/sharepoint/v3"/>
    <ds:schemaRef ds:uri="http://purl.org/dc/dcmitype/"/>
    <ds:schemaRef ds:uri="http://schemas.microsoft.com/office/infopath/2007/PartnerControls"/>
    <ds:schemaRef ds:uri="dc74d1ae-670c-41ed-9896-4cba0109067e"/>
    <ds:schemaRef ds:uri="721dfc99-fedf-49dc-96e4-8b6946f0e489"/>
  </ds:schemaRefs>
</ds:datastoreItem>
</file>

<file path=customXml/itemProps4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2026-06-30T10:40:43Z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