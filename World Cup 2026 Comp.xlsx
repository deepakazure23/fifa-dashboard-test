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886" documentId="8_{C42A4063-8679-421F-B2A4-8DD3F65A1D1D}" xr6:coauthVersionLast="47" xr6:coauthVersionMax="47" xr10:uidLastSave="{A5FE6381-EA48-4C18-AE64-8B97C43D163B}"/>
  <bookViews>
    <workbookView xWindow="-6192" yWindow="-17388" windowWidth="41496" windowHeight="16776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<sst xmlns="http://schemas.openxmlformats.org/spreadsheetml/2006/main" count="2091" uniqueCount="326">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</sst>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Normal="100" workbookViewId="0">
      <pane xSplit="11" ySplit="1" topLeftCell="L4" activePane="bottomRight" state="frozen"/>
      <selection pane="topRight" activeCell="L1" sqref="L1"/>
      <selection pane="bottomLeft" activeCell="A2" sqref="A2"/>
      <selection pane="bottomRight" activeCell="K21" sqref="K21"/>
    </sheetView>
  </sheetViews>
  <sheetFormatPr defaultColWidth="6.54296875" defaultRowHeight="14.5" x14ac:dyDescent="0.35"/>
  <cols>
    <col min="1" max="1" width="21.54296875" style="6" bestFit="1" customWidth="1"/>
    <col min="2" max="2" width="3.1796875" style="6" bestFit="1" customWidth="1"/>
    <col min="3" max="3" width="11.7265625" style="6" bestFit="1" customWidth="1"/>
    <col min="4" max="4" width="30.7265625" style="6" bestFit="1" customWidth="1"/>
    <col min="5" max="5" width="23.453125" style="10" bestFit="1" customWidth="1"/>
    <col min="6" max="6" width="6.7265625" style="6" bestFit="1" customWidth="1"/>
    <col min="7" max="8" width="12.2695312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9" style="6" bestFit="1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9" style="6" bestFit="1" customWidth="1"/>
    <col min="18" max="18" width="12.453125" style="6" bestFit="1" customWidth="1"/>
    <col min="19" max="19" width="9" style="6" bestFit="1" customWidth="1"/>
    <col min="20" max="20" width="11.453125" style="6" bestFit="1" customWidth="1"/>
    <col min="21" max="21" width="9.453125" style="6" bestFit="1" customWidth="1"/>
    <col min="22" max="22" width="22.54296875" style="6" bestFit="1" customWidth="1"/>
    <col min="23" max="23" width="9.453125" style="6" bestFit="1" customWidth="1"/>
    <col min="24" max="24" width="12.26953125" style="6" bestFit="1" customWidth="1"/>
    <col min="25" max="25" width="9.453125" style="6" bestFit="1" customWidth="1"/>
    <col min="26" max="26" width="22.54296875" style="6" bestFit="1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9.453125" style="6" bestFit="1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/>
      <c r="L21" s="6" t="s">
        <v>142</v>
      </c>
      <c r="M21" s="1" t="str">
        <f t="shared" si="0"/>
        <v>TBP</v>
      </c>
      <c r="N21" s="1" t="s">
        <v>142</v>
      </c>
      <c r="O21" s="1" t="str">
        <f t="shared" si="1"/>
        <v>TBP</v>
      </c>
      <c r="P21" s="6" t="s">
        <v>142</v>
      </c>
      <c r="Q21" s="1" t="str">
        <f t="shared" si="2"/>
        <v>TBP</v>
      </c>
      <c r="R21" s="6" t="s">
        <v>142</v>
      </c>
      <c r="S21" s="1" t="str">
        <f t="shared" si="3"/>
        <v>TBP</v>
      </c>
      <c r="T21" s="1" t="s">
        <v>142</v>
      </c>
      <c r="U21" s="6" t="str">
        <f t="shared" si="4"/>
        <v>TBP</v>
      </c>
      <c r="V21" s="6" t="s">
        <v>142</v>
      </c>
      <c r="W21" s="6" t="str">
        <f t="shared" si="5"/>
        <v>TBP</v>
      </c>
      <c r="X21" s="6" t="s">
        <v>142</v>
      </c>
      <c r="Y21" s="6" t="str">
        <f t="shared" si="6"/>
        <v>TBP</v>
      </c>
      <c r="Z21" s="6" t="s">
        <v>142</v>
      </c>
      <c r="AA21" s="6" t="str">
        <f t="shared" si="7"/>
        <v>TBP</v>
      </c>
      <c r="AB21" s="6" t="s">
        <v>142</v>
      </c>
      <c r="AC21" s="6" t="str">
        <f t="shared" si="8"/>
        <v>TBP</v>
      </c>
      <c r="AD21" s="6" t="s">
        <v>142</v>
      </c>
      <c r="AE21" s="6" t="str">
        <f t="shared" si="9"/>
        <v>TBP</v>
      </c>
      <c r="AF21" s="6" t="s">
        <v>142</v>
      </c>
      <c r="AG21" s="6" t="str">
        <f t="shared" si="10"/>
        <v>TBP</v>
      </c>
      <c r="AH21" s="6" t="s">
        <v>142</v>
      </c>
      <c r="AI21" s="6" t="str">
        <f t="shared" si="11"/>
        <v>TBP</v>
      </c>
      <c r="AJ21" s="6" t="s">
        <v>59</v>
      </c>
      <c r="AK21" s="6" t="str">
        <f t="shared" si="12"/>
        <v>TBP</v>
      </c>
      <c r="AL21" s="14" t="s">
        <v>142</v>
      </c>
      <c r="AM21" s="6" t="str">
        <f t="shared" si="13"/>
        <v>TBP</v>
      </c>
      <c r="AN21" s="6" t="s">
        <v>142</v>
      </c>
      <c r="AO21" s="6" t="str">
        <f t="shared" si="14"/>
        <v>TBP</v>
      </c>
      <c r="AP21" s="6" t="s">
        <v>142</v>
      </c>
      <c r="AQ21" s="6" t="str">
        <f t="shared" si="15"/>
        <v>TBP</v>
      </c>
      <c r="AR21" s="6" t="s">
        <v>142</v>
      </c>
      <c r="AS21" s="6" t="str">
        <f t="shared" si="16"/>
        <v>No Match</v>
      </c>
      <c r="AT21" s="16" t="s">
        <v>142</v>
      </c>
      <c r="AU21" s="6" t="str">
        <f t="shared" si="17"/>
        <v>TBP</v>
      </c>
      <c r="AV21" s="17" t="s">
        <v>142</v>
      </c>
      <c r="AW21" s="6" t="str">
        <f t="shared" si="18"/>
        <v>TBP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/>
      <c r="L22" s="6" t="s">
        <v>74</v>
      </c>
      <c r="M22" s="1" t="str">
        <f t="shared" si="0"/>
        <v>TBP</v>
      </c>
      <c r="N22" s="1" t="s">
        <v>74</v>
      </c>
      <c r="O22" s="1" t="str">
        <f t="shared" si="1"/>
        <v>TBP</v>
      </c>
      <c r="P22" s="6" t="s">
        <v>74</v>
      </c>
      <c r="Q22" s="1" t="str">
        <f t="shared" si="2"/>
        <v>TBP</v>
      </c>
      <c r="R22" s="1" t="s">
        <v>74</v>
      </c>
      <c r="S22" s="1" t="str">
        <f t="shared" si="3"/>
        <v>TBP</v>
      </c>
      <c r="T22" s="1" t="s">
        <v>74</v>
      </c>
      <c r="U22" s="6" t="str">
        <f t="shared" si="4"/>
        <v>TBP</v>
      </c>
      <c r="V22" s="6" t="s">
        <v>74</v>
      </c>
      <c r="W22" s="6" t="str">
        <f t="shared" si="5"/>
        <v>TBP</v>
      </c>
      <c r="X22" s="6" t="s">
        <v>74</v>
      </c>
      <c r="Y22" s="6" t="str">
        <f t="shared" si="6"/>
        <v>TBP</v>
      </c>
      <c r="Z22" s="6" t="s">
        <v>74</v>
      </c>
      <c r="AA22" s="6" t="str">
        <f t="shared" si="7"/>
        <v>TBP</v>
      </c>
      <c r="AB22" s="6" t="s">
        <v>147</v>
      </c>
      <c r="AC22" s="6" t="str">
        <f t="shared" si="8"/>
        <v>TBP</v>
      </c>
      <c r="AD22" s="6" t="s">
        <v>147</v>
      </c>
      <c r="AE22" s="6" t="str">
        <f t="shared" si="9"/>
        <v>TBP</v>
      </c>
      <c r="AF22" s="6" t="s">
        <v>74</v>
      </c>
      <c r="AG22" s="6" t="str">
        <f t="shared" si="10"/>
        <v>TBP</v>
      </c>
      <c r="AH22" s="6" t="s">
        <v>74</v>
      </c>
      <c r="AI22" s="6" t="str">
        <f t="shared" si="11"/>
        <v>TBP</v>
      </c>
      <c r="AJ22" s="6" t="s">
        <v>74</v>
      </c>
      <c r="AK22" s="6" t="str">
        <f t="shared" si="12"/>
        <v>TBP</v>
      </c>
      <c r="AL22" s="14" t="s">
        <v>74</v>
      </c>
      <c r="AM22" s="6" t="str">
        <f t="shared" si="13"/>
        <v>TBP</v>
      </c>
      <c r="AN22" s="6" t="s">
        <v>74</v>
      </c>
      <c r="AO22" s="6" t="str">
        <f t="shared" si="14"/>
        <v>TBP</v>
      </c>
      <c r="AP22" s="6" t="s">
        <v>74</v>
      </c>
      <c r="AQ22" s="6" t="str">
        <f t="shared" si="15"/>
        <v>TBP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TBP</v>
      </c>
      <c r="AV22" s="17" t="s">
        <v>74</v>
      </c>
      <c r="AW22" s="6" t="str">
        <f t="shared" si="18"/>
        <v>TBP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/>
      <c r="L23" s="6" t="s">
        <v>59</v>
      </c>
      <c r="M23" s="1" t="str">
        <f t="shared" si="0"/>
        <v>TBP</v>
      </c>
      <c r="N23" s="6" t="s">
        <v>59</v>
      </c>
      <c r="O23" s="1" t="str">
        <f t="shared" si="1"/>
        <v>TBP</v>
      </c>
      <c r="P23" s="6" t="s">
        <v>106</v>
      </c>
      <c r="Q23" s="1" t="str">
        <f t="shared" si="2"/>
        <v>TBP</v>
      </c>
      <c r="R23" s="6" t="s">
        <v>67</v>
      </c>
      <c r="S23" s="1" t="str">
        <f t="shared" si="3"/>
        <v>TBP</v>
      </c>
      <c r="T23" s="1" t="s">
        <v>106</v>
      </c>
      <c r="U23" s="6" t="str">
        <f t="shared" si="4"/>
        <v>TBP</v>
      </c>
      <c r="V23" s="6" t="s">
        <v>67</v>
      </c>
      <c r="W23" s="6" t="str">
        <f t="shared" si="5"/>
        <v>TBP</v>
      </c>
      <c r="X23" s="6" t="s">
        <v>67</v>
      </c>
      <c r="Y23" s="6" t="str">
        <f t="shared" si="6"/>
        <v>TBP</v>
      </c>
      <c r="Z23" s="6" t="s">
        <v>67</v>
      </c>
      <c r="AA23" s="6" t="str">
        <f t="shared" si="7"/>
        <v>TBP</v>
      </c>
      <c r="AB23" s="6" t="s">
        <v>67</v>
      </c>
      <c r="AC23" s="6" t="str">
        <f t="shared" si="8"/>
        <v>TBP</v>
      </c>
      <c r="AD23" s="6" t="s">
        <v>67</v>
      </c>
      <c r="AE23" s="6" t="str">
        <f t="shared" si="9"/>
        <v>TBP</v>
      </c>
      <c r="AF23" s="6" t="s">
        <v>67</v>
      </c>
      <c r="AG23" s="6" t="str">
        <f t="shared" si="10"/>
        <v>TBP</v>
      </c>
      <c r="AH23" s="6" t="s">
        <v>67</v>
      </c>
      <c r="AI23" s="6" t="str">
        <f t="shared" si="11"/>
        <v>TBP</v>
      </c>
      <c r="AJ23" s="14" t="s">
        <v>67</v>
      </c>
      <c r="AK23" s="6" t="str">
        <f t="shared" si="12"/>
        <v>TBP</v>
      </c>
      <c r="AL23" s="14" t="s">
        <v>67</v>
      </c>
      <c r="AM23" s="6" t="str">
        <f t="shared" si="13"/>
        <v>TBP</v>
      </c>
      <c r="AN23" s="6" t="s">
        <v>67</v>
      </c>
      <c r="AO23" s="6" t="str">
        <f t="shared" si="14"/>
        <v>TBP</v>
      </c>
      <c r="AP23" s="6" t="s">
        <v>106</v>
      </c>
      <c r="AQ23" s="6" t="str">
        <f t="shared" si="15"/>
        <v>TBP</v>
      </c>
      <c r="AR23" s="6" t="s">
        <v>67</v>
      </c>
      <c r="AS23" s="6" t="str">
        <f t="shared" si="16"/>
        <v>No Match</v>
      </c>
      <c r="AT23" s="16" t="s">
        <v>67</v>
      </c>
      <c r="AU23" s="6" t="str">
        <f t="shared" si="17"/>
        <v>TBP</v>
      </c>
      <c r="AV23" s="17" t="s">
        <v>67</v>
      </c>
      <c r="AW23" s="6" t="str">
        <f t="shared" si="18"/>
        <v>TBP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4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6" t="str">
        <f t="shared" si="16"/>
        <v>No Match</v>
      </c>
      <c r="AT24" s="16" t="s">
        <v>151</v>
      </c>
      <c r="AU24" s="6" t="str">
        <f t="shared" si="17"/>
        <v>TBP</v>
      </c>
      <c r="AV24" s="17" t="s">
        <v>152</v>
      </c>
      <c r="AW24" s="6" t="str">
        <f t="shared" si="18"/>
        <v>TBP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4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6" t="str">
        <f t="shared" si="16"/>
        <v>No Match</v>
      </c>
      <c r="AT25" s="16" t="s">
        <v>111</v>
      </c>
      <c r="AU25" s="6" t="str">
        <f t="shared" si="17"/>
        <v>TBP</v>
      </c>
      <c r="AV25" s="17" t="s">
        <v>111</v>
      </c>
      <c r="AW25" s="6" t="str">
        <f t="shared" si="18"/>
        <v>TBP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5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9" t="s">
        <v>57</v>
      </c>
      <c r="AC26" s="6" t="str">
        <f t="shared" si="8"/>
        <v>TBP</v>
      </c>
      <c r="AD26" s="19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TBP</v>
      </c>
      <c r="AV26" s="17" t="s">
        <v>57</v>
      </c>
      <c r="AW26" s="6" t="str">
        <f t="shared" si="18"/>
        <v>TBP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3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7</v>
      </c>
      <c r="N74" s="1"/>
      <c r="O74" s="5">
        <f>COUNTIF(O2:O73, "Matched")</f>
        <v>10</v>
      </c>
      <c r="P74" s="1"/>
      <c r="Q74" s="5">
        <f>COUNTIF(Q2:Q73, "Matched")</f>
        <v>9</v>
      </c>
      <c r="R74" s="1"/>
      <c r="S74" s="5">
        <f>COUNTIF(S2:S73, "Matched")</f>
        <v>8</v>
      </c>
      <c r="T74" s="1"/>
      <c r="U74" s="5">
        <f>COUNTIF(U2:U73, "Matched")</f>
        <v>7</v>
      </c>
      <c r="V74" s="1"/>
      <c r="W74" s="5">
        <f>COUNTIF(W2:W73, "Matched")</f>
        <v>9</v>
      </c>
      <c r="X74" s="1"/>
      <c r="Y74" s="5">
        <f>COUNTIF(Y2:Y73, "Matched")</f>
        <v>9</v>
      </c>
      <c r="Z74" s="1"/>
      <c r="AA74" s="5">
        <f>COUNTIF(AA2:AA73, "Matched")</f>
        <v>9</v>
      </c>
      <c r="AB74" s="1"/>
      <c r="AC74" s="5">
        <f>COUNTIF(AC2:AC73, "Matched")</f>
        <v>9</v>
      </c>
      <c r="AD74" s="1"/>
      <c r="AE74" s="5">
        <f>COUNTIF(AE2:AE73, "Matched")</f>
        <v>9</v>
      </c>
      <c r="AF74" s="1"/>
      <c r="AG74" s="5">
        <f>COUNTIF(AG2:AG73, "Matched")</f>
        <v>10</v>
      </c>
      <c r="AH74" s="1"/>
      <c r="AI74" s="5">
        <f>COUNTIF(AI2:AI73, "Matched")</f>
        <v>8</v>
      </c>
      <c r="AJ74" s="1"/>
      <c r="AK74" s="5">
        <f>COUNTIF(AK2:AK73, "Matched")</f>
        <v>6</v>
      </c>
      <c r="AL74" s="1"/>
      <c r="AM74" s="5">
        <f>COUNTIF(AM2:AM73, "Matched")</f>
        <v>9</v>
      </c>
      <c r="AN74" s="1"/>
      <c r="AO74" s="5">
        <f>COUNTIF(AO2:AO73, "Matched")</f>
        <v>9</v>
      </c>
      <c r="AP74" s="1"/>
      <c r="AQ74" s="5">
        <f>COUNTIF(AQ2:AQ73, "Matched")</f>
        <v>8</v>
      </c>
      <c r="AR74" s="1"/>
      <c r="AS74" s="5">
        <f>COUNTIF(AS2:AS73, "Matched")</f>
        <v>10</v>
      </c>
      <c r="AT74" s="1"/>
      <c r="AU74" s="5">
        <f>COUNTIF(AU2:AU73, "Matched")</f>
        <v>9</v>
      </c>
      <c r="AV74" s="1"/>
      <c r="AW74" s="5">
        <f>COUNTIF(AW2:AW73, "Matched")</f>
        <v>9</v>
      </c>
    </row>
    <row r="75" spans="3:49" x14ac:dyDescent="0.3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3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3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3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3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3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3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3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3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3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3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3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3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3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3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3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3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3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3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3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3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3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3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3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3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3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3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3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3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3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3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3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3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3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89BE2C-0FFF-4390-9E78-D618C70A35A4}">
  <ds:schemaRefs>
    <ds:schemaRef ds:uri="http://purl.org/dc/terms/"/>
    <ds:schemaRef ds:uri="http://schemas.microsoft.com/office/2006/metadata/properties"/>
    <ds:schemaRef ds:uri="http://schemas.microsoft.com/office/infopath/2007/PartnerControls"/>
    <ds:schemaRef ds:uri="dc74d1ae-670c-41ed-9896-4cba0109067e"/>
    <ds:schemaRef ds:uri="http://schemas.microsoft.com/sharepoint/v3/fields"/>
    <ds:schemaRef ds:uri="http://www.w3.org/XML/1998/namespace"/>
    <ds:schemaRef ds:uri="http://schemas.openxmlformats.org/package/2006/metadata/core-properties"/>
    <ds:schemaRef ds:uri="721dfc99-fedf-49dc-96e4-8b6946f0e489"/>
    <ds:schemaRef ds:uri="http://schemas.microsoft.com/office/2006/documentManagement/types"/>
    <ds:schemaRef ds:uri="http://purl.org/dc/dcmitype/"/>
    <ds:schemaRef ds:uri="37513636-cd07-4f62-aa39-05d899fa6391"/>
    <ds:schemaRef ds:uri="http://schemas.microsoft.com/sharepoint/v3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2026-06-17T02:56:14Z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