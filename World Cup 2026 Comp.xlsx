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2073" documentId="8_{C42A4063-8679-421F-B2A4-8DD3F65A1D1D}" xr6:coauthVersionLast="47" xr6:coauthVersionMax="47" xr10:uidLastSave="{E57FBA92-BA8E-4C68-8EE0-8D0ACF179974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<sst xmlns="http://schemas.openxmlformats.org/spreadsheetml/2006/main" count="2193" uniqueCount="298">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</sst>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4" fillId="0" borderId="3" xfId="0" applyFont="1" applyBorder="1" applyAlignment="1">
      <alignment wrapText="1"/>
    </xf>
    <xf numFmtId="20" fontId="4" fillId="0" borderId="3" xfId="0" applyNumberFormat="1" applyFont="1" applyBorder="1" applyAlignment="1">
      <alignment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164" fontId="2" fillId="0" borderId="6" xfId="0" applyNumberFormat="1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58" activePane="bottomRight" state="frozen"/>
      <selection pane="topRight" activeCell="L1" sqref="L1"/>
      <selection pane="bottomLeft" activeCell="A2" sqref="A2"/>
      <selection pane="bottomRight" activeCell="K73" sqref="K73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2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3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4" t="s">
        <v>51</v>
      </c>
      <c r="AU2" s="6" t="str">
        <f>AS2</f>
        <v>Matched</v>
      </c>
      <c r="AV2" s="15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2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6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3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4" t="s">
        <v>56</v>
      </c>
      <c r="AU3" s="6" t="str">
        <f t="shared" ref="AU3:AU66" si="17">IF(ISBLANK(K3),"TBP",IF(AT3=K3,"Matched","No Match"))</f>
        <v>Matched</v>
      </c>
      <c r="AV3" s="15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3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4" t="s">
        <v>64</v>
      </c>
      <c r="AU4" s="6" t="str">
        <f t="shared" si="17"/>
        <v>No Match</v>
      </c>
      <c r="AV4" s="15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3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4" t="s">
        <v>71</v>
      </c>
      <c r="AU5" s="6" t="str">
        <f t="shared" si="17"/>
        <v>Matched</v>
      </c>
      <c r="AV5" s="15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3" t="s">
        <v>77</v>
      </c>
      <c r="AK6" s="6" t="str">
        <f t="shared" si="12"/>
        <v>No Match</v>
      </c>
      <c r="AL6" s="13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4" t="s">
        <v>77</v>
      </c>
      <c r="AU6" s="6" t="str">
        <f t="shared" si="17"/>
        <v>No Match</v>
      </c>
      <c r="AV6" s="15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3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4" t="s">
        <v>79</v>
      </c>
      <c r="AU7" s="6" t="str">
        <f t="shared" si="17"/>
        <v>No Match</v>
      </c>
      <c r="AV7" s="15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3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4" t="s">
        <v>87</v>
      </c>
      <c r="AU8" s="6" t="str">
        <f t="shared" si="17"/>
        <v>Matched</v>
      </c>
      <c r="AV8" s="15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6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3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4" t="s">
        <v>93</v>
      </c>
      <c r="AU9" s="6" t="str">
        <f t="shared" si="17"/>
        <v>No Match</v>
      </c>
      <c r="AV9" s="15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2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3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4" t="s">
        <v>99</v>
      </c>
      <c r="AU10" s="6" t="str">
        <f t="shared" si="17"/>
        <v>Matched</v>
      </c>
      <c r="AV10" s="15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2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6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3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4" t="s">
        <v>89</v>
      </c>
      <c r="AU11" s="6" t="str">
        <f t="shared" si="17"/>
        <v>No Match</v>
      </c>
      <c r="AV11" s="15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2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3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4" t="s">
        <v>109</v>
      </c>
      <c r="AU12" s="6" t="str">
        <f t="shared" si="17"/>
        <v>No Match</v>
      </c>
      <c r="AV12" s="15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2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3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4" t="s">
        <v>113</v>
      </c>
      <c r="AU13" s="6" t="str">
        <f t="shared" si="17"/>
        <v>Matched</v>
      </c>
      <c r="AV13" s="15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2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3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4" t="s">
        <v>54</v>
      </c>
      <c r="AU14" s="6" t="str">
        <f t="shared" si="17"/>
        <v>No Match</v>
      </c>
      <c r="AV14" s="15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2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3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4" t="s">
        <v>96</v>
      </c>
      <c r="AU15" s="6" t="str">
        <f t="shared" si="17"/>
        <v>No Match</v>
      </c>
      <c r="AV15" s="15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2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3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4" t="s">
        <v>127</v>
      </c>
      <c r="AU16" s="6" t="str">
        <f t="shared" si="17"/>
        <v>No Match</v>
      </c>
      <c r="AV16" s="15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2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3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4" t="s">
        <v>130</v>
      </c>
      <c r="AU17" s="6" t="str">
        <f t="shared" si="17"/>
        <v>No Match</v>
      </c>
      <c r="AV17" s="15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2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3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4" t="s">
        <v>60</v>
      </c>
      <c r="AU18" s="6" t="str">
        <f t="shared" si="17"/>
        <v>Matched</v>
      </c>
      <c r="AV18" s="15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2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3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4" t="s">
        <v>136</v>
      </c>
      <c r="AU19" s="6" t="str">
        <f t="shared" si="17"/>
        <v>Matched</v>
      </c>
      <c r="AV19" s="15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3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4" t="s">
        <v>48</v>
      </c>
      <c r="AU20" s="6" t="str">
        <f t="shared" si="17"/>
        <v>Matched</v>
      </c>
      <c r="AV20" s="15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3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4" t="s">
        <v>142</v>
      </c>
      <c r="AU21" s="6" t="str">
        <f t="shared" si="17"/>
        <v>Matched</v>
      </c>
      <c r="AV21" s="15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2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3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4" t="s">
        <v>74</v>
      </c>
      <c r="AU22" s="6" t="str">
        <f t="shared" si="17"/>
        <v>No Match</v>
      </c>
      <c r="AV22" s="15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2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3" t="s">
        <v>67</v>
      </c>
      <c r="AK23" s="6" t="str">
        <f t="shared" si="12"/>
        <v>Matched</v>
      </c>
      <c r="AL23" s="13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4" t="s">
        <v>67</v>
      </c>
      <c r="AU23" s="6" t="str">
        <f t="shared" si="17"/>
        <v>Matched</v>
      </c>
      <c r="AV23" s="15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2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3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4" t="s">
        <v>151</v>
      </c>
      <c r="AU24" s="6" t="str">
        <f t="shared" si="17"/>
        <v>Matched</v>
      </c>
      <c r="AV24" s="15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2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3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4" t="s">
        <v>111</v>
      </c>
      <c r="AU25" s="6" t="str">
        <f t="shared" si="17"/>
        <v>Matched</v>
      </c>
      <c r="AV25" s="15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2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7" t="s">
        <v>57</v>
      </c>
      <c r="AC26" s="6" t="str">
        <f t="shared" si="8"/>
        <v>No Match</v>
      </c>
      <c r="AD26" s="17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3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4" t="s">
        <v>57</v>
      </c>
      <c r="AU26" s="6" t="str">
        <f t="shared" si="17"/>
        <v>No Match</v>
      </c>
      <c r="AV26" s="15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2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3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4" t="s">
        <v>77</v>
      </c>
      <c r="AU27" s="6" t="str">
        <f t="shared" si="17"/>
        <v>Matched</v>
      </c>
      <c r="AV27" s="15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2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3" t="s">
        <v>64</v>
      </c>
      <c r="AK28" s="6" t="str">
        <f t="shared" si="12"/>
        <v>Matched</v>
      </c>
      <c r="AL28" s="13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4" t="s">
        <v>64</v>
      </c>
      <c r="AU28" s="6" t="str">
        <f t="shared" si="17"/>
        <v>Matched</v>
      </c>
      <c r="AV28" s="15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2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3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4" t="s">
        <v>51</v>
      </c>
      <c r="AU29" s="6" t="str">
        <f t="shared" si="17"/>
        <v>Matched</v>
      </c>
      <c r="AV29" s="15" t="s">
        <v>51</v>
      </c>
      <c r="AW29" s="6" t="str">
        <f t="shared" si="18"/>
        <v>Matched</v>
      </c>
    </row>
    <row r="30" spans="1:49" ht="26.25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2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3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4" t="s">
        <v>71</v>
      </c>
      <c r="AU30" s="6" t="str">
        <f t="shared" si="17"/>
        <v>Matched</v>
      </c>
      <c r="AV30" s="15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2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3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4" t="s">
        <v>83</v>
      </c>
      <c r="AU31" s="6" t="str">
        <f t="shared" si="17"/>
        <v>Matched</v>
      </c>
      <c r="AV31" s="15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2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3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4" t="s">
        <v>79</v>
      </c>
      <c r="AU32" s="6" t="str">
        <f t="shared" si="17"/>
        <v>Matched</v>
      </c>
      <c r="AV32" s="15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2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6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7" t="s">
        <v>93</v>
      </c>
      <c r="AC33" s="6" t="str">
        <f t="shared" si="8"/>
        <v>No Match</v>
      </c>
      <c r="AD33" s="17" t="s">
        <v>93</v>
      </c>
      <c r="AE33" s="6" t="str">
        <f t="shared" si="9"/>
        <v>No Match</v>
      </c>
      <c r="AF33" s="17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3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4" t="s">
        <v>93</v>
      </c>
      <c r="AU33" s="6" t="str">
        <f t="shared" si="17"/>
        <v>No Match</v>
      </c>
      <c r="AV33" s="15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2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3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4" t="s">
        <v>89</v>
      </c>
      <c r="AU34" s="6" t="str">
        <f t="shared" si="17"/>
        <v>Matched</v>
      </c>
      <c r="AV34" s="15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2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3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4" t="s">
        <v>99</v>
      </c>
      <c r="AU35" s="6" t="str">
        <f t="shared" si="17"/>
        <v>Matched</v>
      </c>
      <c r="AV35" s="15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2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7" t="s">
        <v>109</v>
      </c>
      <c r="AC36" s="6" t="str">
        <f t="shared" si="8"/>
        <v>No Match</v>
      </c>
      <c r="AD36" s="17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3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4" t="s">
        <v>109</v>
      </c>
      <c r="AU36" s="6" t="str">
        <f t="shared" si="17"/>
        <v>No Match</v>
      </c>
      <c r="AV36" s="15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2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3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4" t="s">
        <v>104</v>
      </c>
      <c r="AU37" s="6" t="str">
        <f t="shared" si="17"/>
        <v>Matched</v>
      </c>
      <c r="AV37" s="15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2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6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3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4" t="s">
        <v>54</v>
      </c>
      <c r="AU38" s="6" t="str">
        <f t="shared" si="17"/>
        <v>Matched</v>
      </c>
      <c r="AV38" s="15" t="s">
        <v>54</v>
      </c>
      <c r="AW38" s="6" t="str">
        <f t="shared" si="18"/>
        <v>Matched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2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6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3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4" t="s">
        <v>96</v>
      </c>
      <c r="AU39" s="6" t="str">
        <f t="shared" si="17"/>
        <v>No Match</v>
      </c>
      <c r="AV39" s="15" t="s">
        <v>96</v>
      </c>
      <c r="AW39" s="6" t="str">
        <f t="shared" si="18"/>
        <v>No Match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2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6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3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4" t="s">
        <v>127</v>
      </c>
      <c r="AU40" s="6" t="str">
        <f t="shared" si="17"/>
        <v>No Match</v>
      </c>
      <c r="AV40" s="15" t="s">
        <v>127</v>
      </c>
      <c r="AW40" s="6" t="str">
        <f t="shared" si="18"/>
        <v>No Match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2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6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3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4" t="s">
        <v>123</v>
      </c>
      <c r="AU41" s="6" t="str">
        <f t="shared" si="17"/>
        <v>Matched</v>
      </c>
      <c r="AV41" s="15" t="s">
        <v>131</v>
      </c>
      <c r="AW41" s="6" t="str">
        <f t="shared" si="18"/>
        <v>No Match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2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6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3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4" t="s">
        <v>48</v>
      </c>
      <c r="AU42" s="6" t="str">
        <f t="shared" si="17"/>
        <v>Matched</v>
      </c>
      <c r="AV42" s="15" t="s">
        <v>48</v>
      </c>
      <c r="AW42" s="6" t="str">
        <f t="shared" si="18"/>
        <v>Matched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2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6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3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4" t="s">
        <v>60</v>
      </c>
      <c r="AU43" s="6" t="str">
        <f t="shared" si="17"/>
        <v>Matched</v>
      </c>
      <c r="AV43" s="15" t="s">
        <v>60</v>
      </c>
      <c r="AW43" s="6" t="str">
        <f t="shared" si="18"/>
        <v>Matched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2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6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3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4" t="s">
        <v>120</v>
      </c>
      <c r="AU44" s="6" t="str">
        <f t="shared" si="17"/>
        <v>No Match</v>
      </c>
      <c r="AV44" s="15" t="s">
        <v>120</v>
      </c>
      <c r="AW44" s="6" t="str">
        <f t="shared" si="18"/>
        <v>No Match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2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6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3" t="s">
        <v>139</v>
      </c>
      <c r="AK45" s="6" t="str">
        <f t="shared" si="12"/>
        <v>Matched</v>
      </c>
      <c r="AL45" s="13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4" t="s">
        <v>139</v>
      </c>
      <c r="AU45" s="6" t="str">
        <f t="shared" si="17"/>
        <v>Matched</v>
      </c>
      <c r="AV45" s="15" t="s">
        <v>139</v>
      </c>
      <c r="AW45" s="6" t="str">
        <f t="shared" si="18"/>
        <v>Matched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2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6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3" t="s">
        <v>74</v>
      </c>
      <c r="AK46" s="6" t="str">
        <f t="shared" si="12"/>
        <v>Matched</v>
      </c>
      <c r="AL46" s="13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4" t="s">
        <v>74</v>
      </c>
      <c r="AU46" s="6" t="str">
        <f t="shared" si="17"/>
        <v>Matched</v>
      </c>
      <c r="AV46" s="15" t="s">
        <v>74</v>
      </c>
      <c r="AW46" s="6" t="str">
        <f t="shared" si="18"/>
        <v>Matched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2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6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3" t="s">
        <v>67</v>
      </c>
      <c r="AK47" s="6" t="str">
        <f t="shared" si="12"/>
        <v>No Match</v>
      </c>
      <c r="AL47" s="13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4" t="s">
        <v>67</v>
      </c>
      <c r="AU47" s="6" t="str">
        <f t="shared" si="17"/>
        <v>No Match</v>
      </c>
      <c r="AV47" s="15" t="s">
        <v>67</v>
      </c>
      <c r="AW47" s="6" t="str">
        <f t="shared" si="18"/>
        <v>No Match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2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3" t="s">
        <v>106</v>
      </c>
      <c r="AK48" s="6" t="str">
        <f t="shared" si="12"/>
        <v>Matched</v>
      </c>
      <c r="AL48" s="13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4" t="s">
        <v>106</v>
      </c>
      <c r="AU48" s="6" t="str">
        <f t="shared" si="17"/>
        <v>Matched</v>
      </c>
      <c r="AV48" s="15" t="s">
        <v>106</v>
      </c>
      <c r="AW48" s="6" t="str">
        <f t="shared" si="18"/>
        <v>Matched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2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6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3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4" t="s">
        <v>111</v>
      </c>
      <c r="AU49" s="6" t="str">
        <f t="shared" si="17"/>
        <v>Matched</v>
      </c>
      <c r="AV49" s="15" t="s">
        <v>111</v>
      </c>
      <c r="AW49" s="6" t="str">
        <f t="shared" si="18"/>
        <v>Matched</v>
      </c>
    </row>
    <row r="50" spans="1:49" x14ac:dyDescent="0.25">
      <c r="C50" s="1" t="s">
        <v>61</v>
      </c>
      <c r="D50" s="1" t="s">
        <v>182</v>
      </c>
      <c r="E50" s="10">
        <v>46198</v>
      </c>
      <c r="F50" s="12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6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3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4" t="s">
        <v>77</v>
      </c>
      <c r="AU50" s="6" t="str">
        <f t="shared" si="17"/>
        <v>Matched</v>
      </c>
      <c r="AV50" s="15" t="s">
        <v>77</v>
      </c>
      <c r="AW50" s="6" t="str">
        <f t="shared" si="18"/>
        <v>Matched</v>
      </c>
    </row>
    <row r="51" spans="1:49" ht="30" x14ac:dyDescent="0.25">
      <c r="C51" s="1" t="s">
        <v>61</v>
      </c>
      <c r="D51" s="1" t="s">
        <v>182</v>
      </c>
      <c r="E51" s="10">
        <v>46198</v>
      </c>
      <c r="F51" s="12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8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6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3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4" t="s">
        <v>65</v>
      </c>
      <c r="AS51" s="6" t="str">
        <f t="shared" si="16"/>
        <v>Matched</v>
      </c>
      <c r="AT51" s="14" t="s">
        <v>65</v>
      </c>
      <c r="AU51" s="6" t="str">
        <f t="shared" si="17"/>
        <v>Matched</v>
      </c>
      <c r="AV51" s="15" t="s">
        <v>76</v>
      </c>
      <c r="AW51" s="6" t="str">
        <f t="shared" si="18"/>
        <v>No Match</v>
      </c>
    </row>
    <row r="52" spans="1:49" x14ac:dyDescent="0.25">
      <c r="C52" s="1" t="s">
        <v>80</v>
      </c>
      <c r="D52" s="1" t="s">
        <v>183</v>
      </c>
      <c r="E52" s="10">
        <v>46198</v>
      </c>
      <c r="F52" s="12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6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3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4" t="s">
        <v>79</v>
      </c>
      <c r="AU52" s="6" t="str">
        <f t="shared" si="17"/>
        <v>Matched</v>
      </c>
      <c r="AV52" s="15" t="s">
        <v>79</v>
      </c>
      <c r="AW52" s="6" t="str">
        <f t="shared" si="18"/>
        <v>Matched</v>
      </c>
    </row>
    <row r="53" spans="1:49" x14ac:dyDescent="0.25">
      <c r="C53" s="1" t="s">
        <v>80</v>
      </c>
      <c r="D53" s="1" t="s">
        <v>183</v>
      </c>
      <c r="E53" s="10">
        <v>46198</v>
      </c>
      <c r="F53" s="12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6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3" t="s">
        <v>83</v>
      </c>
      <c r="AK53" s="6" t="str">
        <f t="shared" si="12"/>
        <v>Matched</v>
      </c>
      <c r="AL53" s="13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4" t="s">
        <v>83</v>
      </c>
      <c r="AU53" s="6" t="str">
        <f t="shared" si="17"/>
        <v>Matched</v>
      </c>
      <c r="AV53" s="15" t="s">
        <v>83</v>
      </c>
      <c r="AW53" s="6" t="str">
        <f t="shared" si="18"/>
        <v>Matched</v>
      </c>
    </row>
    <row r="54" spans="1:49" x14ac:dyDescent="0.25">
      <c r="C54" s="1" t="s">
        <v>49</v>
      </c>
      <c r="D54" s="1" t="s">
        <v>184</v>
      </c>
      <c r="E54" s="10">
        <v>46198</v>
      </c>
      <c r="F54" s="12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6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3" t="s">
        <v>51</v>
      </c>
      <c r="AK54" s="6" t="str">
        <f t="shared" si="12"/>
        <v>Matched</v>
      </c>
      <c r="AL54" s="13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4" t="s">
        <v>51</v>
      </c>
      <c r="AU54" s="6" t="str">
        <f t="shared" si="17"/>
        <v>Matched</v>
      </c>
      <c r="AV54" s="15" t="s">
        <v>51</v>
      </c>
      <c r="AW54" s="6" t="str">
        <f t="shared" si="18"/>
        <v>Matched</v>
      </c>
    </row>
    <row r="55" spans="1:49" x14ac:dyDescent="0.25">
      <c r="C55" s="1" t="s">
        <v>49</v>
      </c>
      <c r="D55" s="1" t="s">
        <v>184</v>
      </c>
      <c r="E55" s="10">
        <v>46198</v>
      </c>
      <c r="F55" s="12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6" t="s">
        <v>52</v>
      </c>
      <c r="AA55" s="6" t="str">
        <f t="shared" si="7"/>
        <v>Matched</v>
      </c>
      <c r="AB55" s="17" t="s">
        <v>52</v>
      </c>
      <c r="AC55" s="6" t="str">
        <f t="shared" si="8"/>
        <v>Matched</v>
      </c>
      <c r="AD55" s="17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3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4" t="s">
        <v>56</v>
      </c>
      <c r="AU55" s="6" t="str">
        <f t="shared" si="17"/>
        <v>No Match</v>
      </c>
      <c r="AV55" s="15" t="s">
        <v>56</v>
      </c>
      <c r="AW55" s="6" t="str">
        <f t="shared" si="18"/>
        <v>No Match</v>
      </c>
    </row>
    <row r="56" spans="1:49" x14ac:dyDescent="0.25">
      <c r="C56" s="1" t="s">
        <v>97</v>
      </c>
      <c r="D56" s="1" t="s">
        <v>185</v>
      </c>
      <c r="E56" s="10">
        <v>46199</v>
      </c>
      <c r="F56" s="12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6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3" t="s">
        <v>108</v>
      </c>
      <c r="AK56" s="6" t="str">
        <f t="shared" si="12"/>
        <v>Matched</v>
      </c>
      <c r="AL56" s="13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4" t="s">
        <v>108</v>
      </c>
      <c r="AU56" s="6" t="str">
        <f t="shared" si="17"/>
        <v>Matched</v>
      </c>
      <c r="AV56" s="15" t="s">
        <v>108</v>
      </c>
      <c r="AW56" s="6" t="str">
        <f t="shared" si="18"/>
        <v>Matched</v>
      </c>
    </row>
    <row r="57" spans="1:49" x14ac:dyDescent="0.25">
      <c r="C57" s="1" t="s">
        <v>97</v>
      </c>
      <c r="D57" s="1" t="s">
        <v>185</v>
      </c>
      <c r="E57" s="10">
        <v>46199</v>
      </c>
      <c r="F57" s="12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6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3" t="s">
        <v>99</v>
      </c>
      <c r="AK57" s="6" t="str">
        <f t="shared" si="12"/>
        <v>No Match</v>
      </c>
      <c r="AL57" s="13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4" t="s">
        <v>99</v>
      </c>
      <c r="AU57" s="6" t="str">
        <f t="shared" si="17"/>
        <v>No Match</v>
      </c>
      <c r="AV57" s="15" t="s">
        <v>99</v>
      </c>
      <c r="AW57" s="6" t="str">
        <f t="shared" si="18"/>
        <v>No Match</v>
      </c>
    </row>
    <row r="58" spans="1:49" x14ac:dyDescent="0.25">
      <c r="C58" s="1" t="s">
        <v>102</v>
      </c>
      <c r="D58" s="1" t="s">
        <v>186</v>
      </c>
      <c r="E58" s="10">
        <v>46199</v>
      </c>
      <c r="F58" s="12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6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3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4" t="s">
        <v>104</v>
      </c>
      <c r="AU58" s="6" t="str">
        <f t="shared" si="17"/>
        <v>No Match</v>
      </c>
      <c r="AV58" s="15" t="s">
        <v>104</v>
      </c>
      <c r="AW58" s="6" t="str">
        <f t="shared" si="18"/>
        <v>No Match</v>
      </c>
    </row>
    <row r="59" spans="1:49" x14ac:dyDescent="0.25">
      <c r="C59" s="1" t="s">
        <v>102</v>
      </c>
      <c r="D59" s="1" t="s">
        <v>186</v>
      </c>
      <c r="E59" s="10">
        <v>46199</v>
      </c>
      <c r="F59" s="12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6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3" t="s">
        <v>89</v>
      </c>
      <c r="AK59" s="6" t="str">
        <f t="shared" si="12"/>
        <v>Matched</v>
      </c>
      <c r="AL59" s="13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4" t="s">
        <v>89</v>
      </c>
      <c r="AU59" s="6" t="str">
        <f t="shared" si="17"/>
        <v>Matched</v>
      </c>
      <c r="AV59" s="15" t="s">
        <v>89</v>
      </c>
      <c r="AW59" s="6" t="str">
        <f t="shared" si="18"/>
        <v>Matched</v>
      </c>
    </row>
    <row r="60" spans="1:49" x14ac:dyDescent="0.25">
      <c r="C60" s="1" t="s">
        <v>68</v>
      </c>
      <c r="D60" s="1" t="s">
        <v>187</v>
      </c>
      <c r="E60" s="10">
        <v>46199</v>
      </c>
      <c r="F60" s="12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6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3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4" t="s">
        <v>71</v>
      </c>
      <c r="AU60" s="6" t="str">
        <f t="shared" si="17"/>
        <v>No Match</v>
      </c>
      <c r="AV60" s="15" t="s">
        <v>71</v>
      </c>
      <c r="AW60" s="6" t="str">
        <f t="shared" si="18"/>
        <v>No Match</v>
      </c>
    </row>
    <row r="61" spans="1:49" x14ac:dyDescent="0.25">
      <c r="C61" s="1" t="s">
        <v>68</v>
      </c>
      <c r="D61" s="1" t="s">
        <v>187</v>
      </c>
      <c r="E61" s="10">
        <v>46199</v>
      </c>
      <c r="F61" s="12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6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9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3" t="s">
        <v>92</v>
      </c>
      <c r="AK61" s="6" t="str">
        <f t="shared" si="12"/>
        <v>No Match</v>
      </c>
      <c r="AL61" s="13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4" t="s">
        <v>92</v>
      </c>
      <c r="AU61" s="6" t="str">
        <f t="shared" si="17"/>
        <v>No Match</v>
      </c>
      <c r="AV61" s="15" t="s">
        <v>92</v>
      </c>
      <c r="AW61" s="6" t="str">
        <f t="shared" si="18"/>
        <v>No Match</v>
      </c>
    </row>
    <row r="62" spans="1:49" x14ac:dyDescent="0.25">
      <c r="C62" s="1" t="s">
        <v>132</v>
      </c>
      <c r="D62" s="1" t="s">
        <v>189</v>
      </c>
      <c r="E62" s="10">
        <v>46200</v>
      </c>
      <c r="F62" s="12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6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9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3" t="s">
        <v>60</v>
      </c>
      <c r="AK62" s="6" t="str">
        <f t="shared" si="12"/>
        <v>Matched</v>
      </c>
      <c r="AL62" s="13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4" t="s">
        <v>60</v>
      </c>
      <c r="AU62" s="6" t="str">
        <f t="shared" si="17"/>
        <v>Matched</v>
      </c>
      <c r="AV62" s="15" t="s">
        <v>60</v>
      </c>
      <c r="AW62" s="6" t="str">
        <f t="shared" si="18"/>
        <v>Matched</v>
      </c>
    </row>
    <row r="63" spans="1:49" x14ac:dyDescent="0.25">
      <c r="C63" s="1" t="s">
        <v>132</v>
      </c>
      <c r="D63" s="1" t="s">
        <v>189</v>
      </c>
      <c r="E63" s="10">
        <v>46200</v>
      </c>
      <c r="F63" s="12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6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9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3" t="s">
        <v>120</v>
      </c>
      <c r="AK63" s="6" t="str">
        <f t="shared" si="12"/>
        <v>Matched</v>
      </c>
      <c r="AL63" s="13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4" t="s">
        <v>120</v>
      </c>
      <c r="AU63" s="6" t="str">
        <f t="shared" si="17"/>
        <v>Matched</v>
      </c>
      <c r="AV63" s="15" t="s">
        <v>120</v>
      </c>
      <c r="AW63" s="6" t="str">
        <f t="shared" si="18"/>
        <v>Matched</v>
      </c>
    </row>
    <row r="64" spans="1:49" x14ac:dyDescent="0.25">
      <c r="C64" s="1" t="s">
        <v>116</v>
      </c>
      <c r="D64" s="1" t="s">
        <v>192</v>
      </c>
      <c r="E64" s="10">
        <v>46200</v>
      </c>
      <c r="F64" s="12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6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9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3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4" t="s">
        <v>126</v>
      </c>
      <c r="AU64" s="6" t="str">
        <f t="shared" si="17"/>
        <v>No Match</v>
      </c>
      <c r="AV64" s="15" t="s">
        <v>126</v>
      </c>
      <c r="AW64" s="6" t="str">
        <f t="shared" si="18"/>
        <v>No Match</v>
      </c>
    </row>
    <row r="65" spans="3:49" x14ac:dyDescent="0.25">
      <c r="C65" s="1" t="s">
        <v>116</v>
      </c>
      <c r="D65" s="1" t="s">
        <v>192</v>
      </c>
      <c r="E65" s="10">
        <v>46200</v>
      </c>
      <c r="F65" s="12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6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9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3" t="s">
        <v>54</v>
      </c>
      <c r="AK65" s="6" t="str">
        <f t="shared" si="12"/>
        <v>Matched</v>
      </c>
      <c r="AL65" s="13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4" t="s">
        <v>54</v>
      </c>
      <c r="AU65" s="6" t="str">
        <f t="shared" si="17"/>
        <v>Matched</v>
      </c>
      <c r="AV65" s="15" t="s">
        <v>54</v>
      </c>
      <c r="AW65" s="6" t="str">
        <f t="shared" si="18"/>
        <v>Matched</v>
      </c>
    </row>
    <row r="66" spans="3:49" x14ac:dyDescent="0.25">
      <c r="C66" s="1" t="s">
        <v>121</v>
      </c>
      <c r="D66" s="1" t="s">
        <v>193</v>
      </c>
      <c r="E66" s="10">
        <v>46200</v>
      </c>
      <c r="F66" s="12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6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9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3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4" t="s">
        <v>123</v>
      </c>
      <c r="AU66" s="6" t="str">
        <f t="shared" si="17"/>
        <v>No Match</v>
      </c>
      <c r="AV66" s="15" t="s">
        <v>130</v>
      </c>
      <c r="AW66" s="6" t="str">
        <f t="shared" si="18"/>
        <v>No Match</v>
      </c>
    </row>
    <row r="67" spans="3:49" x14ac:dyDescent="0.25">
      <c r="C67" s="1" t="s">
        <v>121</v>
      </c>
      <c r="D67" s="1" t="s">
        <v>193</v>
      </c>
      <c r="E67" s="10">
        <v>46200</v>
      </c>
      <c r="F67" s="12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73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6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9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3" t="s">
        <v>96</v>
      </c>
      <c r="AK67" s="6" t="str">
        <f t="shared" ref="AK67:AK73" si="31">IF(ISBLANK(K67),"TBP",IF(AJ67=K67,"Matched","No Match"))</f>
        <v>Matched</v>
      </c>
      <c r="AL67" s="13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4" t="s">
        <v>96</v>
      </c>
      <c r="AU67" s="6" t="str">
        <f t="shared" ref="AU67:AU73" si="36">IF(ISBLANK(K67),"TBP",IF(AT67=K67,"Matched","No Match"))</f>
        <v>Matched</v>
      </c>
      <c r="AV67" s="15" t="s">
        <v>96</v>
      </c>
      <c r="AW67" s="6" t="str">
        <f t="shared" ref="AW67:AW73" si="37">IF(ISBLANK(K67),"TBP",IF(AV67=K67,"Matched","No Match"))</f>
        <v>Matched</v>
      </c>
    </row>
    <row r="68" spans="3:49" x14ac:dyDescent="0.25">
      <c r="C68" s="1" t="s">
        <v>148</v>
      </c>
      <c r="D68" s="1" t="s">
        <v>194</v>
      </c>
      <c r="E68" s="10">
        <v>46201</v>
      </c>
      <c r="F68" s="12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6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9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3" t="s">
        <v>67</v>
      </c>
      <c r="AK68" s="6" t="str">
        <f t="shared" si="31"/>
        <v>Matched</v>
      </c>
      <c r="AL68" s="13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4" t="s">
        <v>67</v>
      </c>
      <c r="AU68" s="6" t="str">
        <f t="shared" si="36"/>
        <v>Matched</v>
      </c>
      <c r="AV68" s="15" t="s">
        <v>67</v>
      </c>
      <c r="AW68" s="6" t="str">
        <f t="shared" si="37"/>
        <v>Matched</v>
      </c>
    </row>
    <row r="69" spans="3:49" x14ac:dyDescent="0.25">
      <c r="C69" s="1" t="s">
        <v>148</v>
      </c>
      <c r="D69" s="1" t="s">
        <v>194</v>
      </c>
      <c r="E69" s="10">
        <v>46201</v>
      </c>
      <c r="F69" s="12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6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9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3" t="s">
        <v>106</v>
      </c>
      <c r="AK69" s="6" t="str">
        <f t="shared" si="31"/>
        <v>Matched</v>
      </c>
      <c r="AL69" s="13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4" t="s">
        <v>106</v>
      </c>
      <c r="AU69" s="6" t="str">
        <f t="shared" si="36"/>
        <v>Matched</v>
      </c>
      <c r="AV69" s="15" t="s">
        <v>106</v>
      </c>
      <c r="AW69" s="6" t="str">
        <f t="shared" si="37"/>
        <v>Matched</v>
      </c>
    </row>
    <row r="70" spans="3:49" ht="26.25" x14ac:dyDescent="0.25">
      <c r="C70" s="1" t="s">
        <v>144</v>
      </c>
      <c r="D70" s="1" t="s">
        <v>195</v>
      </c>
      <c r="E70" s="10">
        <v>46201</v>
      </c>
      <c r="F70" s="12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6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9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3" t="s">
        <v>74</v>
      </c>
      <c r="AK70" s="6" t="str">
        <f t="shared" si="31"/>
        <v>No Match</v>
      </c>
      <c r="AL70" s="13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4" t="s">
        <v>74</v>
      </c>
      <c r="AU70" s="6" t="str">
        <f t="shared" si="36"/>
        <v>No Match</v>
      </c>
      <c r="AV70" s="15" t="s">
        <v>74</v>
      </c>
      <c r="AW70" s="6" t="str">
        <f t="shared" si="37"/>
        <v>No Match</v>
      </c>
    </row>
    <row r="71" spans="3:49" x14ac:dyDescent="0.25">
      <c r="C71" s="1" t="s">
        <v>144</v>
      </c>
      <c r="D71" s="1" t="s">
        <v>195</v>
      </c>
      <c r="E71" s="10">
        <v>46201</v>
      </c>
      <c r="F71" s="12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6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9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3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4" t="s">
        <v>59</v>
      </c>
      <c r="AU71" s="6" t="str">
        <f t="shared" si="36"/>
        <v>No Match</v>
      </c>
      <c r="AV71" s="15" t="s">
        <v>146</v>
      </c>
      <c r="AW71" s="6" t="str">
        <f t="shared" si="37"/>
        <v>Matched</v>
      </c>
    </row>
    <row r="72" spans="3:49" x14ac:dyDescent="0.2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6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9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3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4" t="s">
        <v>142</v>
      </c>
      <c r="AU72" s="6" t="str">
        <f t="shared" si="36"/>
        <v>No Match</v>
      </c>
      <c r="AV72" s="15" t="s">
        <v>142</v>
      </c>
      <c r="AW72" s="6" t="str">
        <f t="shared" si="37"/>
        <v>No Match</v>
      </c>
    </row>
    <row r="73" spans="3:49" x14ac:dyDescent="0.2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6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9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3" t="s">
        <v>48</v>
      </c>
      <c r="AK73" s="6" t="str">
        <f t="shared" si="31"/>
        <v>Matched</v>
      </c>
      <c r="AL73" s="13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4" t="s">
        <v>48</v>
      </c>
      <c r="AU73" s="6" t="str">
        <f t="shared" si="36"/>
        <v>Matched</v>
      </c>
      <c r="AV73" s="15" t="s">
        <v>48</v>
      </c>
      <c r="AW73" s="6" t="str">
        <f t="shared" si="37"/>
        <v>Matched</v>
      </c>
    </row>
    <row r="74" spans="3:49" x14ac:dyDescent="0.25">
      <c r="C74" s="3" t="s">
        <v>198</v>
      </c>
      <c r="D74" s="4"/>
      <c r="E74" s="23"/>
      <c r="F74" s="24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25">
      <c r="C75" s="1" t="s">
        <v>199</v>
      </c>
      <c r="D75" s="22" t="s">
        <v>200</v>
      </c>
      <c r="E75" s="20" t="s">
        <v>201</v>
      </c>
      <c r="F75" s="21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/>
      <c r="M75" s="1"/>
      <c r="X75" s="6" t="s">
        <v>64</v>
      </c>
    </row>
    <row r="76" spans="3:49" x14ac:dyDescent="0.25">
      <c r="C76" s="1" t="s">
        <v>199</v>
      </c>
      <c r="D76" s="22" t="s">
        <v>202</v>
      </c>
      <c r="E76" s="20" t="s">
        <v>203</v>
      </c>
      <c r="F76" s="21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/>
      <c r="M76" s="1"/>
      <c r="X76" s="6" t="s">
        <v>79</v>
      </c>
    </row>
    <row r="77" spans="3:49" x14ac:dyDescent="0.25">
      <c r="C77" s="1" t="s">
        <v>199</v>
      </c>
      <c r="D77" s="22" t="s">
        <v>204</v>
      </c>
      <c r="E77" s="20" t="s">
        <v>203</v>
      </c>
      <c r="F77" s="21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/>
      <c r="M77" s="1"/>
      <c r="X77" s="6" t="s">
        <v>99</v>
      </c>
    </row>
    <row r="78" spans="3:49" x14ac:dyDescent="0.25">
      <c r="C78" s="1" t="s">
        <v>199</v>
      </c>
      <c r="D78" s="22" t="s">
        <v>205</v>
      </c>
      <c r="E78" s="20" t="s">
        <v>203</v>
      </c>
      <c r="F78" s="21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/>
      <c r="M78" s="1"/>
      <c r="X78" s="6" t="s">
        <v>89</v>
      </c>
    </row>
    <row r="79" spans="3:49" x14ac:dyDescent="0.25">
      <c r="C79" s="1" t="s">
        <v>199</v>
      </c>
      <c r="D79" s="22" t="s">
        <v>206</v>
      </c>
      <c r="E79" s="20" t="s">
        <v>207</v>
      </c>
      <c r="F79" s="21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199</v>
      </c>
      <c r="D80" s="22" t="s">
        <v>208</v>
      </c>
      <c r="E80" s="20" t="s">
        <v>207</v>
      </c>
      <c r="F80" s="21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199</v>
      </c>
      <c r="D81" s="22" t="s">
        <v>209</v>
      </c>
      <c r="E81" s="20" t="s">
        <v>207</v>
      </c>
      <c r="F81" s="21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199</v>
      </c>
      <c r="D82" s="22" t="s">
        <v>210</v>
      </c>
      <c r="E82" s="20" t="s">
        <v>211</v>
      </c>
      <c r="F82" s="21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199</v>
      </c>
      <c r="D83" s="22" t="s">
        <v>212</v>
      </c>
      <c r="E83" s="20" t="s">
        <v>211</v>
      </c>
      <c r="F83" s="21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/>
      <c r="M83" s="1"/>
    </row>
    <row r="84" spans="3:13" ht="26.25" x14ac:dyDescent="0.25">
      <c r="C84" s="1" t="s">
        <v>199</v>
      </c>
      <c r="D84" s="22" t="s">
        <v>213</v>
      </c>
      <c r="E84" s="20" t="s">
        <v>211</v>
      </c>
      <c r="F84" s="21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199</v>
      </c>
      <c r="D85" s="22" t="s">
        <v>214</v>
      </c>
      <c r="E85" s="20" t="s">
        <v>215</v>
      </c>
      <c r="F85" s="21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199</v>
      </c>
      <c r="D86" s="22" t="s">
        <v>216</v>
      </c>
      <c r="E86" s="20" t="s">
        <v>215</v>
      </c>
      <c r="F86" s="21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199</v>
      </c>
      <c r="D87" s="22" t="s">
        <v>217</v>
      </c>
      <c r="E87" s="20" t="s">
        <v>215</v>
      </c>
      <c r="F87" s="21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199</v>
      </c>
      <c r="D88" s="22" t="s">
        <v>218</v>
      </c>
      <c r="E88" s="20" t="s">
        <v>219</v>
      </c>
      <c r="F88" s="21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199</v>
      </c>
      <c r="D89" s="22" t="s">
        <v>220</v>
      </c>
      <c r="E89" s="20" t="s">
        <v>219</v>
      </c>
      <c r="F89" s="21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199</v>
      </c>
      <c r="D90" s="22" t="s">
        <v>221</v>
      </c>
      <c r="E90" s="20" t="s">
        <v>219</v>
      </c>
      <c r="F90" s="21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25"/>
      <c r="F91" s="26"/>
      <c r="G91" s="1"/>
      <c r="H91" s="1"/>
      <c r="I91" s="1"/>
      <c r="J91" s="1"/>
      <c r="K91" s="1"/>
      <c r="M91" s="1"/>
    </row>
    <row r="92" spans="3:13" x14ac:dyDescent="0.25">
      <c r="C92" s="1" t="s">
        <v>222</v>
      </c>
      <c r="D92" s="1" t="s">
        <v>223</v>
      </c>
      <c r="E92" s="11"/>
      <c r="F92" s="1"/>
      <c r="G92" s="1" t="s">
        <v>224</v>
      </c>
      <c r="H92" s="1" t="s">
        <v>225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222</v>
      </c>
      <c r="D93" s="1" t="s">
        <v>226</v>
      </c>
      <c r="E93" s="11"/>
      <c r="F93" s="1"/>
      <c r="G93" s="1" t="s">
        <v>227</v>
      </c>
      <c r="H93" s="1" t="s">
        <v>228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222</v>
      </c>
      <c r="D94" s="1" t="s">
        <v>229</v>
      </c>
      <c r="E94" s="11"/>
      <c r="F94" s="1"/>
      <c r="G94" s="1" t="s">
        <v>230</v>
      </c>
      <c r="H94" s="1" t="s">
        <v>231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222</v>
      </c>
      <c r="D95" s="1" t="s">
        <v>232</v>
      </c>
      <c r="E95" s="11"/>
      <c r="F95" s="1"/>
      <c r="G95" s="1" t="s">
        <v>233</v>
      </c>
      <c r="H95" s="1" t="s">
        <v>234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222</v>
      </c>
      <c r="D96" s="1" t="s">
        <v>235</v>
      </c>
      <c r="E96" s="11"/>
      <c r="F96" s="1"/>
      <c r="G96" s="1" t="s">
        <v>236</v>
      </c>
      <c r="H96" s="1" t="s">
        <v>237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222</v>
      </c>
      <c r="D97" s="1" t="s">
        <v>238</v>
      </c>
      <c r="E97" s="11"/>
      <c r="F97" s="1"/>
      <c r="G97" s="1" t="s">
        <v>239</v>
      </c>
      <c r="H97" s="1" t="s">
        <v>240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222</v>
      </c>
      <c r="D98" s="1" t="s">
        <v>241</v>
      </c>
      <c r="E98" s="11"/>
      <c r="F98" s="1"/>
      <c r="G98" s="1" t="s">
        <v>242</v>
      </c>
      <c r="H98" s="1" t="s">
        <v>243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222</v>
      </c>
      <c r="D99" s="1" t="s">
        <v>244</v>
      </c>
      <c r="E99" s="11"/>
      <c r="F99" s="1"/>
      <c r="G99" s="1" t="s">
        <v>245</v>
      </c>
      <c r="H99" s="1" t="s">
        <v>246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1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247</v>
      </c>
      <c r="D101" s="1" t="s">
        <v>248</v>
      </c>
      <c r="E101" s="11"/>
      <c r="F101" s="1"/>
      <c r="G101" s="1" t="s">
        <v>249</v>
      </c>
      <c r="H101" s="1" t="s">
        <v>250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247</v>
      </c>
      <c r="D102" s="1" t="s">
        <v>251</v>
      </c>
      <c r="E102" s="11"/>
      <c r="F102" s="1"/>
      <c r="G102" s="1" t="s">
        <v>252</v>
      </c>
      <c r="H102" s="1" t="s">
        <v>253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247</v>
      </c>
      <c r="D103" s="1" t="s">
        <v>254</v>
      </c>
      <c r="E103" s="11"/>
      <c r="F103" s="1"/>
      <c r="G103" s="1" t="s">
        <v>255</v>
      </c>
      <c r="H103" s="1" t="s">
        <v>256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247</v>
      </c>
      <c r="D104" s="1" t="s">
        <v>257</v>
      </c>
      <c r="E104" s="11"/>
      <c r="F104" s="1"/>
      <c r="G104" s="1" t="s">
        <v>258</v>
      </c>
      <c r="H104" s="1" t="s">
        <v>259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260</v>
      </c>
      <c r="D105" s="1" t="s">
        <v>261</v>
      </c>
      <c r="E105" s="11"/>
      <c r="F105" s="1"/>
      <c r="G105" s="1" t="s">
        <v>262</v>
      </c>
      <c r="H105" s="1" t="s">
        <v>263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260</v>
      </c>
      <c r="D106" s="1" t="s">
        <v>264</v>
      </c>
      <c r="E106" s="11"/>
      <c r="F106" s="1"/>
      <c r="G106" s="1" t="s">
        <v>265</v>
      </c>
      <c r="H106" s="1" t="s">
        <v>266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267</v>
      </c>
      <c r="D107" s="1" t="s">
        <v>268</v>
      </c>
      <c r="E107" s="11"/>
      <c r="F107" s="1"/>
      <c r="G107" s="1" t="s">
        <v>269</v>
      </c>
      <c r="H107" s="1" t="s">
        <v>270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271</v>
      </c>
      <c r="D108" s="1" t="s">
        <v>272</v>
      </c>
      <c r="E108" s="11"/>
      <c r="F108" s="1"/>
      <c r="G108" s="1" t="s">
        <v>273</v>
      </c>
      <c r="H108" s="1" t="s">
        <v>274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50 AR52:AR70 AR7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275</v>
      </c>
      <c r="B1" t="s">
        <v>276</v>
      </c>
      <c r="D1" s="1" t="s">
        <v>48</v>
      </c>
      <c r="E1" s="2">
        <v>1</v>
      </c>
      <c r="G1" s="2" t="s">
        <v>277</v>
      </c>
      <c r="H1" s="2">
        <v>6</v>
      </c>
    </row>
    <row r="2" spans="1:8" x14ac:dyDescent="0.25">
      <c r="A2" s="7" t="s">
        <v>278</v>
      </c>
      <c r="B2" s="7" t="s">
        <v>279</v>
      </c>
      <c r="D2" s="1" t="s">
        <v>54</v>
      </c>
      <c r="E2" s="2">
        <v>2</v>
      </c>
      <c r="G2" s="2" t="s">
        <v>280</v>
      </c>
      <c r="H2" s="2">
        <v>6</v>
      </c>
    </row>
    <row r="3" spans="1:8" x14ac:dyDescent="0.25">
      <c r="A3" s="7" t="s">
        <v>281</v>
      </c>
      <c r="B3" t="s">
        <v>279</v>
      </c>
      <c r="D3" s="1" t="s">
        <v>60</v>
      </c>
      <c r="E3" s="2">
        <v>3</v>
      </c>
      <c r="G3" s="2" t="s">
        <v>281</v>
      </c>
      <c r="H3" s="2">
        <v>5</v>
      </c>
    </row>
    <row r="4" spans="1:8" x14ac:dyDescent="0.25">
      <c r="A4" s="7" t="s">
        <v>282</v>
      </c>
      <c r="B4" s="7" t="s">
        <v>279</v>
      </c>
      <c r="D4" s="1" t="s">
        <v>67</v>
      </c>
      <c r="E4" s="2">
        <v>4</v>
      </c>
      <c r="G4" s="2" t="s">
        <v>282</v>
      </c>
      <c r="H4" s="2">
        <v>5</v>
      </c>
    </row>
    <row r="5" spans="1:8" x14ac:dyDescent="0.25">
      <c r="A5" s="7" t="s">
        <v>283</v>
      </c>
      <c r="B5" s="7" t="s">
        <v>279</v>
      </c>
      <c r="D5" s="1" t="s">
        <v>74</v>
      </c>
      <c r="E5" s="2">
        <v>5</v>
      </c>
      <c r="G5" s="2" t="s">
        <v>283</v>
      </c>
      <c r="H5" s="2">
        <v>5</v>
      </c>
    </row>
    <row r="6" spans="1:8" x14ac:dyDescent="0.25">
      <c r="A6" s="7" t="s">
        <v>284</v>
      </c>
      <c r="B6" s="7" t="s">
        <v>279</v>
      </c>
      <c r="D6" s="1" t="s">
        <v>79</v>
      </c>
      <c r="E6" s="2">
        <v>6</v>
      </c>
      <c r="G6" s="2" t="s">
        <v>284</v>
      </c>
      <c r="H6" s="2">
        <v>5</v>
      </c>
    </row>
    <row r="7" spans="1:8" x14ac:dyDescent="0.25">
      <c r="A7" s="7" t="s">
        <v>285</v>
      </c>
      <c r="B7" s="7" t="s">
        <v>279</v>
      </c>
      <c r="D7" s="1" t="s">
        <v>83</v>
      </c>
      <c r="E7" s="2">
        <v>7</v>
      </c>
      <c r="G7" s="2" t="s">
        <v>285</v>
      </c>
      <c r="H7" s="2">
        <v>5</v>
      </c>
    </row>
    <row r="8" spans="1:8" x14ac:dyDescent="0.25">
      <c r="A8" t="s">
        <v>286</v>
      </c>
      <c r="B8" s="7"/>
      <c r="D8" s="1" t="s">
        <v>89</v>
      </c>
      <c r="E8" s="2">
        <v>8</v>
      </c>
      <c r="G8" s="2" t="s">
        <v>287</v>
      </c>
      <c r="H8" s="2">
        <v>5</v>
      </c>
    </row>
    <row r="9" spans="1:8" x14ac:dyDescent="0.25">
      <c r="A9" s="7" t="s">
        <v>287</v>
      </c>
      <c r="B9" s="7" t="s">
        <v>279</v>
      </c>
      <c r="D9" s="1" t="s">
        <v>96</v>
      </c>
      <c r="E9" s="2">
        <v>9</v>
      </c>
      <c r="G9" s="2" t="s">
        <v>288</v>
      </c>
      <c r="H9" s="2">
        <v>5</v>
      </c>
    </row>
    <row r="10" spans="1:8" x14ac:dyDescent="0.25">
      <c r="A10" s="7" t="s">
        <v>277</v>
      </c>
      <c r="B10" s="7" t="s">
        <v>279</v>
      </c>
      <c r="D10" s="1" t="s">
        <v>99</v>
      </c>
      <c r="E10" s="2">
        <v>10</v>
      </c>
      <c r="G10" s="2" t="s">
        <v>289</v>
      </c>
      <c r="H10" s="2">
        <v>5</v>
      </c>
    </row>
    <row r="11" spans="1:8" x14ac:dyDescent="0.25">
      <c r="A11" s="7" t="s">
        <v>290</v>
      </c>
      <c r="B11" s="7" t="s">
        <v>279</v>
      </c>
      <c r="D11" s="1" t="s">
        <v>106</v>
      </c>
      <c r="E11" s="2">
        <v>11</v>
      </c>
      <c r="G11" s="2" t="s">
        <v>291</v>
      </c>
      <c r="H11" s="2">
        <v>5</v>
      </c>
    </row>
    <row r="12" spans="1:8" x14ac:dyDescent="0.25">
      <c r="A12" s="7" t="s">
        <v>292</v>
      </c>
      <c r="B12" s="7" t="s">
        <v>279</v>
      </c>
      <c r="D12" s="1" t="s">
        <v>111</v>
      </c>
      <c r="E12" s="2">
        <v>13</v>
      </c>
      <c r="G12" s="2" t="s">
        <v>293</v>
      </c>
      <c r="H12" s="2">
        <v>5</v>
      </c>
    </row>
    <row r="13" spans="1:8" x14ac:dyDescent="0.25">
      <c r="A13" s="7" t="s">
        <v>294</v>
      </c>
      <c r="B13" s="7" t="s">
        <v>279</v>
      </c>
      <c r="D13" s="1" t="s">
        <v>51</v>
      </c>
      <c r="E13" s="2">
        <v>14</v>
      </c>
      <c r="G13" s="2" t="s">
        <v>290</v>
      </c>
      <c r="H13" s="2">
        <v>4</v>
      </c>
    </row>
    <row r="14" spans="1:8" x14ac:dyDescent="0.25">
      <c r="A14" s="7" t="s">
        <v>295</v>
      </c>
      <c r="B14" s="7" t="s">
        <v>279</v>
      </c>
      <c r="D14" s="1" t="s">
        <v>120</v>
      </c>
      <c r="E14" s="2">
        <v>15</v>
      </c>
      <c r="G14" s="2" t="s">
        <v>292</v>
      </c>
      <c r="H14" s="2">
        <v>4</v>
      </c>
    </row>
    <row r="15" spans="1:8" x14ac:dyDescent="0.25">
      <c r="A15" s="7" t="s">
        <v>288</v>
      </c>
      <c r="B15" s="7" t="s">
        <v>279</v>
      </c>
      <c r="D15" s="1" t="s">
        <v>71</v>
      </c>
      <c r="E15" s="2">
        <v>16</v>
      </c>
      <c r="G15" s="2" t="s">
        <v>294</v>
      </c>
      <c r="H15" s="2">
        <v>4</v>
      </c>
    </row>
    <row r="16" spans="1:8" x14ac:dyDescent="0.25">
      <c r="A16" s="7" t="s">
        <v>289</v>
      </c>
      <c r="B16" s="7" t="s">
        <v>279</v>
      </c>
      <c r="D16" s="1" t="s">
        <v>127</v>
      </c>
      <c r="E16" s="2">
        <v>17</v>
      </c>
      <c r="G16" s="2" t="s">
        <v>296</v>
      </c>
      <c r="H16" s="2">
        <v>4</v>
      </c>
    </row>
    <row r="17" spans="1:8" x14ac:dyDescent="0.25">
      <c r="A17" s="7" t="s">
        <v>296</v>
      </c>
      <c r="B17" s="7" t="s">
        <v>279</v>
      </c>
      <c r="D17" s="1" t="s">
        <v>104</v>
      </c>
      <c r="E17" s="2">
        <v>18</v>
      </c>
      <c r="G17" s="2" t="s">
        <v>278</v>
      </c>
      <c r="H17" s="2">
        <v>3</v>
      </c>
    </row>
    <row r="18" spans="1:8" x14ac:dyDescent="0.25">
      <c r="A18" s="7" t="s">
        <v>280</v>
      </c>
      <c r="B18" s="7" t="s">
        <v>279</v>
      </c>
      <c r="D18" s="1" t="s">
        <v>77</v>
      </c>
      <c r="E18" s="2">
        <v>19</v>
      </c>
      <c r="G18" s="2" t="s">
        <v>295</v>
      </c>
      <c r="H18" s="2">
        <v>3</v>
      </c>
    </row>
    <row r="19" spans="1:8" x14ac:dyDescent="0.25">
      <c r="A19" s="7" t="s">
        <v>291</v>
      </c>
      <c r="B19" s="7" t="s">
        <v>279</v>
      </c>
      <c r="D19" s="1" t="s">
        <v>130</v>
      </c>
      <c r="E19" s="2">
        <v>20</v>
      </c>
      <c r="G19" s="2" t="s">
        <v>286</v>
      </c>
      <c r="H19" s="2">
        <v>2</v>
      </c>
    </row>
    <row r="20" spans="1:8" x14ac:dyDescent="0.25">
      <c r="A20" s="7" t="s">
        <v>293</v>
      </c>
      <c r="B20" s="7" t="s">
        <v>279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297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dc74d1ae-670c-41ed-9896-4cba0109067e"/>
    <ds:schemaRef ds:uri="721dfc99-fedf-49dc-96e4-8b6946f0e489"/>
    <ds:schemaRef ds:uri="37513636-cd07-4f62-aa39-05d899fa6391"/>
    <ds:schemaRef ds:uri="http://purl.org/dc/dcmitype/"/>
    <ds:schemaRef ds:uri="http://www.w3.org/XML/1998/namespace"/>
    <ds:schemaRef ds:uri="http://schemas.microsoft.com/office/2006/documentManagement/types"/>
    <ds:schemaRef ds:uri="http://schemas.microsoft.com/sharepoint/v3/fields"/>
    <ds:schemaRef ds:uri="http://schemas.microsoft.com/sharepoint/v3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2026-06-28T04:20:53Z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