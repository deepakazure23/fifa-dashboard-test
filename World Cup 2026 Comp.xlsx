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703" documentId="8_{C42A4063-8679-421F-B2A4-8DD3F65A1D1D}" xr6:coauthVersionLast="47" xr6:coauthVersionMax="47" xr10:uidLastSave="{638B04CA-C913-4492-9A2E-DEA36791A8D8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6" i="1" l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S111" i="1" s="1"/>
  <c r="AG110" i="1"/>
  <c r="AG111" i="1" s="1"/>
  <c r="W110" i="1"/>
  <c r="W111" i="1" s="1"/>
  <c r="Y110" i="1"/>
  <c r="Y111" i="1" s="1"/>
  <c r="AO110" i="1"/>
  <c r="AO111" i="1" s="1"/>
  <c r="AW110" i="1"/>
  <c r="AW111" i="1" s="1"/>
  <c r="AA110" i="1"/>
  <c r="O110" i="1"/>
  <c r="O111" i="1" s="1"/>
  <c r="U110" i="1"/>
  <c r="U111" i="1" s="1"/>
  <c r="AU110" i="1"/>
  <c r="AU111" i="1" s="1"/>
  <c r="AC110" i="1"/>
  <c r="AC111" i="1" s="1"/>
  <c r="AE110" i="1"/>
  <c r="AE111" i="1" s="1"/>
  <c r="Q110" i="1"/>
  <c r="Q111" i="1" s="1"/>
  <c r="AI110" i="1"/>
  <c r="AQ110" i="1"/>
  <c r="AQ111" i="1" s="1"/>
  <c r="AM110" i="1"/>
  <c r="AM111" i="1" s="1"/>
  <c r="M110" i="1"/>
  <c r="M111" i="1" s="1"/>
  <c r="AK110" i="1"/>
  <c r="AK111" i="1" s="1"/>
  <c r="S110" i="1"/>
  <c r="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I111" i="1" l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A111" i="1" s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<sst xmlns="http://schemas.openxmlformats.org/spreadsheetml/2006/main" count="2463" uniqueCount="274">
  <si>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</si>
  <si>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</si>
  <si>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</si>
  <si>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</si>
  <si>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</si>
  <si>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</si>
  <si>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</si>
  <si>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</si>
  <si>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</si>
  <si>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</si>
  <si>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</si>
  <si>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</si>
  <si>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</si>
  <si>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</si>
  <si>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</si>
  <si>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</si>
  <si>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</si>
  <si>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</si>
  <si>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</si>
  <si>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</si>
  <si>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</si>
  <si>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</si>
  <si>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</si>
  <si>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</si>
  <si>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</si>
  <si>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</si>
  <si>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</si>
  <si>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</si>
  <si>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</si>
  <si>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</si>
  <si>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</si>
  <si>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</si>
  <si>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</si>
  <si>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</si>
  <si>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</si>
  <si>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</si>
  <si>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</si>
  <si>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</si>
  <si>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</si>
  <si>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</si>
  <si>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</si>
  <si>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</si>
  <si>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</si>
  <si>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</si>
  <si>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</si>
  <si>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</si>
  <si>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</si>
  <si>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</si>
  <si>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</si>
  <si>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</si>
  <si>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</si>
  <si>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</si>
  <si>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</si>
  <si>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</si>
  <si>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</si>
  <si>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</si>
  <si>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</si>
  <si>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</si>
  <si>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</si>
  <si>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</si>
  <si>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</si>
  <si>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</si>
  <si>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</si>
  <si>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</si>
  <si>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</si>
  <si>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</si>
  <si>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</si>
  <si>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</si>
  <si>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</si>
  <si>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</si>
  <si>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</si>
  <si>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</si>
  <si>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</si>
  <si>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</si>
  <si>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</si>
  <si>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</si>
  <si>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</si>
  <si>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</si>
  <si>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</si>
  <si>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</si>
  <si>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</si>
  <si>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</si>
  <si>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</si>
  <si>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</si>
  <si>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</si>
  <si>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</si>
  <si>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</si>
  <si>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</si>
  <si>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</si>
  <si>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</si>
  <si>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</si>
  <si>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</si>
  <si>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</si>
  <si>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</si>
  <si>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</si>
  <si>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</si>
  <si>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</si>
  <si>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</si>
  <si>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</si>
  <si>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</si>
  <si>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</si>
  <si>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</si>
  <si>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</si>
  <si>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</si>
  <si>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</si>
  <si>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</si>
  <si>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</si>
  <si>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</si>
  <si>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</si>
  <si>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</si>
  <si>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</si>
  <si>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</si>
  <si>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</si>
  <si>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</si>
  <si>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</si>
  <si>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</si>
  <si>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</si>
  <si>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</si>
  <si>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</si>
  <si>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</si>
  <si>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</si>
  <si>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</si>
  <si>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</si>
  <si>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</si>
  <si>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</si>
  <si>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</si>
  <si>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</si>
  <si>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</si>
  <si>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</si>
  <si>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</si>
  <si>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</si>
  <si>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</si>
  <si>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</si>
  <si>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</si>
  <si>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</si>
  <si>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</si>
  <si>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</si>
  <si>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</si>
  <si>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</si>
  <si>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</si>
  <si>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</si>
  <si>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</si>
  <si>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</si>
  <si>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</si>
  <si>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</si>
  <si>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</si>
  <si>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</si>
  <si>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</si>
  <si>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</si>
  <si>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</si>
  <si>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</si>
  <si>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</si>
  <si>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</si>
  <si>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</si>
  <si>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</si>
  <si>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</si>
  <si>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</si>
  <si>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</si>
  <si>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</si>
  <si>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</si>
  <si>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</si>
  <si>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</si>
  <si>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</si>
  <si>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</si>
  <si>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</si>
  <si>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</si>
  <si>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</si>
  <si>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</si>
  <si>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</si>
  <si>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</si>
  <si>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</si>
  <si>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</si>
  <si>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</si>
  <si>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</si>
  <si>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</si>
  <si>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</si>
  <si>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</si>
  <si>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</si>
  <si>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</si>
  <si>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</si>
  <si>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</si>
  <si>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</si>
  <si>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</si>
  <si>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</si>
  <si>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</si>
  <si>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</si>
  <si>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</si>
  <si>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</si>
  <si>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</si>
  <si>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</si>
  <si>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</si>
  <si>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</si>
  <si>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</si>
  <si>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</si>
  <si>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</si>
  <si>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</si>
  <si>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</si>
  <si>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</si>
  <si>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</si>
  <si>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</si>
  <si>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</si>
  <si>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</si>
  <si>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</si>
  <si>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</si>
  <si>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</si>
  <si>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</si>
  <si>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</si>
  <si>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</si>
  <si>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</si>
  <si>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</si>
  <si>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</si>
  <si>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</si>
  <si>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</si>
  <si>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</si>
  <si>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</si>
  <si>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USA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</si>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</sst>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zoomScale="80" zoomScaleNormal="80" workbookViewId="0">
      <pane xSplit="11" ySplit="1" topLeftCell="L73" activePane="bottomRight" state="frozen"/>
      <selection pane="topRight" activeCell="L1" sqref="L1"/>
      <selection pane="bottomLeft" activeCell="A2" sqref="A2"/>
      <selection pane="bottomRight" activeCell="K83" sqref="K83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1.726562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2"/>
      <c r="F74" s="23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21" t="s">
        <v>200</v>
      </c>
      <c r="E75" s="19" t="s">
        <v>201</v>
      </c>
      <c r="F75" s="20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6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21" t="s">
        <v>203</v>
      </c>
      <c r="E76" s="19" t="s">
        <v>204</v>
      </c>
      <c r="F76" s="20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W76" s="6" t="s">
        <v>79</v>
      </c>
    </row>
    <row r="77" spans="3:49" x14ac:dyDescent="0.35">
      <c r="C77" s="1" t="s">
        <v>199</v>
      </c>
      <c r="D77" s="21" t="s">
        <v>205</v>
      </c>
      <c r="E77" s="19" t="s">
        <v>204</v>
      </c>
      <c r="F77" s="20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W77" s="6" t="s">
        <v>99</v>
      </c>
    </row>
    <row r="78" spans="3:49" x14ac:dyDescent="0.35">
      <c r="C78" s="1" t="s">
        <v>199</v>
      </c>
      <c r="D78" s="21" t="s">
        <v>206</v>
      </c>
      <c r="E78" s="19" t="s">
        <v>204</v>
      </c>
      <c r="F78" s="20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W78" s="6" t="s">
        <v>89</v>
      </c>
    </row>
    <row r="79" spans="3:49" x14ac:dyDescent="0.35">
      <c r="C79" s="1" t="s">
        <v>199</v>
      </c>
      <c r="D79" s="21" t="s">
        <v>207</v>
      </c>
      <c r="E79" s="19" t="s">
        <v>208</v>
      </c>
      <c r="F79" s="20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W79" s="6" t="s">
        <v>136</v>
      </c>
    </row>
    <row r="80" spans="3:49" x14ac:dyDescent="0.35">
      <c r="C80" s="1" t="s">
        <v>199</v>
      </c>
      <c r="D80" s="21" t="s">
        <v>209</v>
      </c>
      <c r="E80" s="19" t="s">
        <v>208</v>
      </c>
      <c r="F80" s="20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W80" s="6" t="s">
        <v>60</v>
      </c>
    </row>
    <row r="81" spans="3:49" x14ac:dyDescent="0.35">
      <c r="C81" s="1" t="s">
        <v>199</v>
      </c>
      <c r="D81" s="21" t="s">
        <v>210</v>
      </c>
      <c r="E81" s="19" t="s">
        <v>208</v>
      </c>
      <c r="F81" s="20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L81" s="1" t="s">
        <v>109</v>
      </c>
      <c r="M81" s="1" t="str">
        <f t="shared" si="19"/>
        <v>TBP</v>
      </c>
      <c r="N81" s="6" t="s">
        <v>51</v>
      </c>
      <c r="O81" s="1" t="str">
        <f t="shared" si="38"/>
        <v>TBP</v>
      </c>
      <c r="P81" s="1" t="s">
        <v>51</v>
      </c>
      <c r="Q81" s="1" t="str">
        <f t="shared" si="39"/>
        <v>TBP</v>
      </c>
      <c r="R81" s="8" t="s">
        <v>51</v>
      </c>
      <c r="S81" s="6" t="str">
        <f t="shared" si="40"/>
        <v>TBP</v>
      </c>
      <c r="T81" s="8" t="s">
        <v>51</v>
      </c>
      <c r="U81" s="6" t="str">
        <f t="shared" si="41"/>
        <v>TBP</v>
      </c>
      <c r="V81" s="6" t="s">
        <v>51</v>
      </c>
      <c r="W81" s="6" t="str">
        <f t="shared" si="42"/>
        <v>TBP</v>
      </c>
      <c r="X81" s="6" t="s">
        <v>109</v>
      </c>
      <c r="Y81" s="6" t="str">
        <f t="shared" si="43"/>
        <v>TBP</v>
      </c>
      <c r="Z81" s="8" t="s">
        <v>51</v>
      </c>
      <c r="AA81" s="6" t="str">
        <f t="shared" si="44"/>
        <v>TBP</v>
      </c>
      <c r="AB81" s="6" t="s">
        <v>51</v>
      </c>
      <c r="AC81" s="6" t="str">
        <f t="shared" si="45"/>
        <v>TBP</v>
      </c>
      <c r="AD81" s="6" t="s">
        <v>51</v>
      </c>
      <c r="AE81" s="6" t="str">
        <f t="shared" si="46"/>
        <v>TBP</v>
      </c>
      <c r="AF81" s="6" t="s">
        <v>51</v>
      </c>
      <c r="AG81" s="6" t="str">
        <f t="shared" si="47"/>
        <v>TBP</v>
      </c>
      <c r="AH81" s="6" t="s">
        <v>51</v>
      </c>
      <c r="AI81" s="6" t="str">
        <f t="shared" si="48"/>
        <v>TBP</v>
      </c>
      <c r="AJ81" s="6" t="s">
        <v>51</v>
      </c>
      <c r="AK81" s="6" t="str">
        <f t="shared" si="49"/>
        <v>TBP</v>
      </c>
      <c r="AL81" s="6" t="s">
        <v>51</v>
      </c>
      <c r="AM81" s="6" t="str">
        <f t="shared" si="50"/>
        <v>TBP</v>
      </c>
      <c r="AN81" s="6" t="s">
        <v>51</v>
      </c>
      <c r="AO81" s="6" t="str">
        <f t="shared" si="51"/>
        <v>TBP</v>
      </c>
      <c r="AP81" s="6" t="s">
        <v>51</v>
      </c>
      <c r="AQ81" s="6" t="str">
        <f t="shared" si="52"/>
        <v>TBP</v>
      </c>
      <c r="AR81" s="6" t="s">
        <v>51</v>
      </c>
      <c r="AS81" s="6" t="str">
        <f t="shared" si="53"/>
        <v>TBP</v>
      </c>
      <c r="AT81" s="6" t="s">
        <v>109</v>
      </c>
      <c r="AU81" s="6" t="str">
        <f t="shared" si="54"/>
        <v>TBP</v>
      </c>
      <c r="AW81" s="6" t="s">
        <v>51</v>
      </c>
    </row>
    <row r="82" spans="3:49" x14ac:dyDescent="0.35">
      <c r="C82" s="1" t="s">
        <v>199</v>
      </c>
      <c r="D82" s="21" t="s">
        <v>211</v>
      </c>
      <c r="E82" s="19" t="s">
        <v>212</v>
      </c>
      <c r="F82" s="20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L82" s="6" t="s">
        <v>146</v>
      </c>
      <c r="M82" s="1" t="str">
        <f t="shared" si="19"/>
        <v>TBP</v>
      </c>
      <c r="N82" s="6" t="s">
        <v>67</v>
      </c>
      <c r="O82" s="1" t="str">
        <f t="shared" si="38"/>
        <v>TBP</v>
      </c>
      <c r="P82" s="1" t="s">
        <v>67</v>
      </c>
      <c r="Q82" s="1" t="str">
        <f t="shared" si="39"/>
        <v>TBP</v>
      </c>
      <c r="R82" s="8" t="s">
        <v>67</v>
      </c>
      <c r="S82" s="6" t="str">
        <f t="shared" si="40"/>
        <v>TBP</v>
      </c>
      <c r="T82" s="8" t="s">
        <v>67</v>
      </c>
      <c r="U82" s="6" t="str">
        <f t="shared" si="41"/>
        <v>TBP</v>
      </c>
      <c r="V82" s="6" t="s">
        <v>67</v>
      </c>
      <c r="W82" s="6" t="str">
        <f t="shared" si="42"/>
        <v>TBP</v>
      </c>
      <c r="X82" s="6" t="s">
        <v>67</v>
      </c>
      <c r="Y82" s="6" t="str">
        <f t="shared" si="43"/>
        <v>TBP</v>
      </c>
      <c r="Z82" s="8" t="s">
        <v>67</v>
      </c>
      <c r="AA82" s="6" t="str">
        <f t="shared" si="44"/>
        <v>TBP</v>
      </c>
      <c r="AB82" s="6" t="s">
        <v>67</v>
      </c>
      <c r="AC82" s="6" t="str">
        <f t="shared" si="45"/>
        <v>TBP</v>
      </c>
      <c r="AD82" s="6" t="s">
        <v>67</v>
      </c>
      <c r="AE82" s="6" t="str">
        <f t="shared" si="46"/>
        <v>TBP</v>
      </c>
      <c r="AF82" s="6" t="s">
        <v>67</v>
      </c>
      <c r="AG82" s="6" t="str">
        <f t="shared" si="47"/>
        <v>TBP</v>
      </c>
      <c r="AH82" s="6" t="s">
        <v>67</v>
      </c>
      <c r="AI82" s="6" t="str">
        <f t="shared" si="48"/>
        <v>TBP</v>
      </c>
      <c r="AJ82" s="6" t="s">
        <v>67</v>
      </c>
      <c r="AK82" s="6" t="str">
        <f t="shared" si="49"/>
        <v>TBP</v>
      </c>
      <c r="AL82" s="6" t="s">
        <v>67</v>
      </c>
      <c r="AM82" s="6" t="str">
        <f t="shared" si="50"/>
        <v>TBP</v>
      </c>
      <c r="AN82" s="6" t="s">
        <v>67</v>
      </c>
      <c r="AO82" s="6" t="str">
        <f t="shared" si="51"/>
        <v>TBP</v>
      </c>
      <c r="AP82" s="6" t="s">
        <v>146</v>
      </c>
      <c r="AQ82" s="6" t="str">
        <f t="shared" si="52"/>
        <v>TBP</v>
      </c>
      <c r="AR82" s="6" t="s">
        <v>67</v>
      </c>
      <c r="AS82" s="6" t="str">
        <f t="shared" si="53"/>
        <v>TBP</v>
      </c>
      <c r="AT82" s="6" t="s">
        <v>67</v>
      </c>
      <c r="AU82" s="6" t="str">
        <f t="shared" si="54"/>
        <v>TBP</v>
      </c>
      <c r="AW82" s="6" t="s">
        <v>67</v>
      </c>
    </row>
    <row r="83" spans="3:49" x14ac:dyDescent="0.35">
      <c r="C83" s="1" t="s">
        <v>199</v>
      </c>
      <c r="D83" s="21" t="s">
        <v>213</v>
      </c>
      <c r="E83" s="19" t="s">
        <v>212</v>
      </c>
      <c r="F83" s="20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L83" s="6" t="s">
        <v>120</v>
      </c>
      <c r="M83" s="1" t="str">
        <f t="shared" si="19"/>
        <v>TBP</v>
      </c>
      <c r="N83" s="6" t="s">
        <v>96</v>
      </c>
      <c r="O83" s="1" t="str">
        <f t="shared" si="38"/>
        <v>TBP</v>
      </c>
      <c r="P83" s="1" t="s">
        <v>96</v>
      </c>
      <c r="Q83" s="1" t="str">
        <f t="shared" si="39"/>
        <v>TBP</v>
      </c>
      <c r="R83" s="8" t="s">
        <v>96</v>
      </c>
      <c r="S83" s="6" t="str">
        <f t="shared" si="40"/>
        <v>TBP</v>
      </c>
      <c r="T83" s="1" t="s">
        <v>120</v>
      </c>
      <c r="U83" s="6" t="str">
        <f t="shared" si="41"/>
        <v>TBP</v>
      </c>
      <c r="V83" s="6" t="s">
        <v>96</v>
      </c>
      <c r="W83" s="6" t="str">
        <f t="shared" si="42"/>
        <v>TBP</v>
      </c>
      <c r="X83" s="6" t="s">
        <v>96</v>
      </c>
      <c r="Y83" s="6" t="str">
        <f t="shared" si="43"/>
        <v>TBP</v>
      </c>
      <c r="Z83" s="8" t="s">
        <v>96</v>
      </c>
      <c r="AA83" s="6" t="str">
        <f t="shared" si="44"/>
        <v>TBP</v>
      </c>
      <c r="AB83" s="6" t="s">
        <v>96</v>
      </c>
      <c r="AC83" s="6" t="str">
        <f t="shared" si="45"/>
        <v>TBP</v>
      </c>
      <c r="AD83" s="6" t="s">
        <v>96</v>
      </c>
      <c r="AE83" s="6" t="str">
        <f t="shared" si="46"/>
        <v>TBP</v>
      </c>
      <c r="AF83" s="6" t="s">
        <v>96</v>
      </c>
      <c r="AG83" s="6" t="str">
        <f t="shared" si="47"/>
        <v>TBP</v>
      </c>
      <c r="AH83" s="6" t="s">
        <v>96</v>
      </c>
      <c r="AI83" s="6" t="str">
        <f t="shared" si="48"/>
        <v>TBP</v>
      </c>
      <c r="AJ83" s="6" t="s">
        <v>96</v>
      </c>
      <c r="AK83" s="6" t="str">
        <f t="shared" si="49"/>
        <v>TBP</v>
      </c>
      <c r="AL83" s="6" t="s">
        <v>96</v>
      </c>
      <c r="AM83" s="6" t="str">
        <f t="shared" si="50"/>
        <v>TBP</v>
      </c>
      <c r="AN83" s="6" t="s">
        <v>96</v>
      </c>
      <c r="AO83" s="6" t="str">
        <f t="shared" si="51"/>
        <v>TBP</v>
      </c>
      <c r="AP83" s="6" t="s">
        <v>96</v>
      </c>
      <c r="AQ83" s="6" t="str">
        <f t="shared" si="52"/>
        <v>TBP</v>
      </c>
      <c r="AR83" s="6" t="s">
        <v>96</v>
      </c>
      <c r="AS83" s="6" t="str">
        <f t="shared" si="53"/>
        <v>TBP</v>
      </c>
      <c r="AT83" s="6" t="s">
        <v>96</v>
      </c>
      <c r="AU83" s="6" t="str">
        <f t="shared" si="54"/>
        <v>TBP</v>
      </c>
      <c r="AW83" s="6" t="s">
        <v>96</v>
      </c>
    </row>
    <row r="84" spans="3:49" ht="26" x14ac:dyDescent="0.35">
      <c r="C84" s="1" t="s">
        <v>199</v>
      </c>
      <c r="D84" s="21" t="s">
        <v>214</v>
      </c>
      <c r="E84" s="19" t="s">
        <v>212</v>
      </c>
      <c r="F84" s="20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L84" s="6" t="s">
        <v>71</v>
      </c>
      <c r="M84" s="1" t="str">
        <f t="shared" si="19"/>
        <v>TBP</v>
      </c>
      <c r="N84" s="8" t="s">
        <v>71</v>
      </c>
      <c r="O84" s="1" t="str">
        <f t="shared" si="38"/>
        <v>TBP</v>
      </c>
      <c r="P84" s="1" t="s">
        <v>71</v>
      </c>
      <c r="Q84" s="1" t="str">
        <f t="shared" si="39"/>
        <v>TBP</v>
      </c>
      <c r="R84" s="8" t="s">
        <v>71</v>
      </c>
      <c r="S84" s="6" t="str">
        <f t="shared" si="40"/>
        <v>TBP</v>
      </c>
      <c r="T84" s="1" t="s">
        <v>65</v>
      </c>
      <c r="U84" s="6" t="str">
        <f t="shared" si="41"/>
        <v>TBP</v>
      </c>
      <c r="V84" s="6" t="s">
        <v>71</v>
      </c>
      <c r="W84" s="6" t="str">
        <f t="shared" si="42"/>
        <v>TBP</v>
      </c>
      <c r="X84" s="6" t="s">
        <v>71</v>
      </c>
      <c r="Y84" s="6" t="str">
        <f t="shared" si="43"/>
        <v>TBP</v>
      </c>
      <c r="Z84" s="8" t="s">
        <v>71</v>
      </c>
      <c r="AA84" s="6" t="str">
        <f t="shared" si="44"/>
        <v>TBP</v>
      </c>
      <c r="AB84" s="8" t="s">
        <v>71</v>
      </c>
      <c r="AC84" s="6" t="str">
        <f t="shared" si="45"/>
        <v>TBP</v>
      </c>
      <c r="AD84" s="8" t="s">
        <v>71</v>
      </c>
      <c r="AE84" s="6" t="str">
        <f t="shared" si="46"/>
        <v>TBP</v>
      </c>
      <c r="AF84" s="28" t="s">
        <v>71</v>
      </c>
      <c r="AG84" s="6" t="str">
        <f t="shared" si="47"/>
        <v>TBP</v>
      </c>
      <c r="AH84" s="6" t="s">
        <v>215</v>
      </c>
      <c r="AI84" s="6" t="str">
        <f t="shared" si="48"/>
        <v>TBP</v>
      </c>
      <c r="AJ84" s="6" t="s">
        <v>71</v>
      </c>
      <c r="AK84" s="6" t="str">
        <f t="shared" si="49"/>
        <v>TBP</v>
      </c>
      <c r="AL84" s="6" t="s">
        <v>71</v>
      </c>
      <c r="AM84" s="6" t="str">
        <f t="shared" si="50"/>
        <v>TBP</v>
      </c>
      <c r="AN84" s="6" t="s">
        <v>71</v>
      </c>
      <c r="AO84" s="6" t="str">
        <f t="shared" si="51"/>
        <v>TBP</v>
      </c>
      <c r="AP84" s="6" t="s">
        <v>65</v>
      </c>
      <c r="AQ84" s="6" t="str">
        <f t="shared" si="52"/>
        <v>TBP</v>
      </c>
      <c r="AR84" s="6" t="s">
        <v>71</v>
      </c>
      <c r="AS84" s="6" t="str">
        <f t="shared" si="53"/>
        <v>TBP</v>
      </c>
      <c r="AT84" s="6" t="s">
        <v>71</v>
      </c>
      <c r="AU84" s="6" t="str">
        <f t="shared" si="54"/>
        <v>TBP</v>
      </c>
      <c r="AW84" s="6" t="s">
        <v>215</v>
      </c>
    </row>
    <row r="85" spans="3:49" x14ac:dyDescent="0.35">
      <c r="C85" s="1" t="s">
        <v>199</v>
      </c>
      <c r="D85" s="21" t="s">
        <v>216</v>
      </c>
      <c r="E85" s="19" t="s">
        <v>217</v>
      </c>
      <c r="F85" s="20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L85" s="6" t="s">
        <v>54</v>
      </c>
      <c r="M85" s="1" t="str">
        <f t="shared" si="19"/>
        <v>TBP</v>
      </c>
      <c r="N85" s="6" t="s">
        <v>54</v>
      </c>
      <c r="O85" s="1" t="str">
        <f t="shared" si="38"/>
        <v>TBP</v>
      </c>
      <c r="P85" s="1" t="s">
        <v>54</v>
      </c>
      <c r="Q85" s="1" t="str">
        <f t="shared" si="39"/>
        <v>TBP</v>
      </c>
      <c r="R85" s="8" t="s">
        <v>54</v>
      </c>
      <c r="S85" s="6" t="str">
        <f t="shared" si="40"/>
        <v>TBP</v>
      </c>
      <c r="T85" s="8" t="s">
        <v>54</v>
      </c>
      <c r="U85" s="6" t="str">
        <f t="shared" si="41"/>
        <v>TBP</v>
      </c>
      <c r="V85" s="6" t="s">
        <v>54</v>
      </c>
      <c r="W85" s="6" t="str">
        <f t="shared" si="42"/>
        <v>TBP</v>
      </c>
      <c r="X85" s="6" t="s">
        <v>54</v>
      </c>
      <c r="Y85" s="6" t="str">
        <f t="shared" si="43"/>
        <v>TBP</v>
      </c>
      <c r="Z85" s="8" t="s">
        <v>54</v>
      </c>
      <c r="AA85" s="6" t="str">
        <f t="shared" si="44"/>
        <v>TBP</v>
      </c>
      <c r="AB85" s="6" t="s">
        <v>54</v>
      </c>
      <c r="AC85" s="6" t="str">
        <f t="shared" si="45"/>
        <v>TBP</v>
      </c>
      <c r="AD85" s="6" t="s">
        <v>54</v>
      </c>
      <c r="AE85" s="6" t="str">
        <f t="shared" si="46"/>
        <v>TBP</v>
      </c>
      <c r="AF85" s="6" t="s">
        <v>54</v>
      </c>
      <c r="AG85" s="6" t="str">
        <f t="shared" si="47"/>
        <v>TBP</v>
      </c>
      <c r="AH85" s="6" t="s">
        <v>54</v>
      </c>
      <c r="AI85" s="6" t="str">
        <f t="shared" si="48"/>
        <v>TBP</v>
      </c>
      <c r="AJ85" s="6" t="s">
        <v>54</v>
      </c>
      <c r="AK85" s="6" t="str">
        <f t="shared" si="49"/>
        <v>TBP</v>
      </c>
      <c r="AL85" s="6" t="s">
        <v>54</v>
      </c>
      <c r="AM85" s="6" t="str">
        <f t="shared" si="50"/>
        <v>TBP</v>
      </c>
      <c r="AN85" s="6" t="s">
        <v>54</v>
      </c>
      <c r="AO85" s="6" t="str">
        <f t="shared" si="51"/>
        <v>TBP</v>
      </c>
      <c r="AP85" s="6" t="s">
        <v>54</v>
      </c>
      <c r="AQ85" s="6" t="str">
        <f t="shared" si="52"/>
        <v>TBP</v>
      </c>
      <c r="AR85" s="6" t="s">
        <v>54</v>
      </c>
      <c r="AS85" s="6" t="str">
        <f t="shared" si="53"/>
        <v>TBP</v>
      </c>
      <c r="AT85" s="6" t="s">
        <v>54</v>
      </c>
      <c r="AU85" s="6" t="str">
        <f t="shared" si="54"/>
        <v>TBP</v>
      </c>
      <c r="AW85" s="6" t="s">
        <v>54</v>
      </c>
    </row>
    <row r="86" spans="3:49" x14ac:dyDescent="0.35">
      <c r="C86" s="1" t="s">
        <v>199</v>
      </c>
      <c r="D86" s="21" t="s">
        <v>218</v>
      </c>
      <c r="E86" s="19" t="s">
        <v>217</v>
      </c>
      <c r="F86" s="20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L86" s="6" t="s">
        <v>74</v>
      </c>
      <c r="M86" s="1" t="str">
        <f t="shared" si="19"/>
        <v>TBP</v>
      </c>
      <c r="N86" s="6" t="s">
        <v>106</v>
      </c>
      <c r="O86" s="1" t="str">
        <f t="shared" si="38"/>
        <v>TBP</v>
      </c>
      <c r="P86" s="1" t="s">
        <v>74</v>
      </c>
      <c r="Q86" s="1" t="str">
        <f t="shared" si="39"/>
        <v>TBP</v>
      </c>
      <c r="R86" s="1" t="s">
        <v>106</v>
      </c>
      <c r="S86" s="6" t="str">
        <f t="shared" si="40"/>
        <v>TBP</v>
      </c>
      <c r="T86" s="1" t="s">
        <v>106</v>
      </c>
      <c r="U86" s="6" t="str">
        <f t="shared" si="41"/>
        <v>TBP</v>
      </c>
      <c r="V86" s="6" t="s">
        <v>74</v>
      </c>
      <c r="W86" s="6" t="str">
        <f t="shared" si="42"/>
        <v>TBP</v>
      </c>
      <c r="X86" s="6" t="s">
        <v>74</v>
      </c>
      <c r="Y86" s="6" t="str">
        <f t="shared" si="43"/>
        <v>TBP</v>
      </c>
      <c r="Z86" s="8" t="s">
        <v>74</v>
      </c>
      <c r="AA86" s="6" t="str">
        <f t="shared" si="44"/>
        <v>TBP</v>
      </c>
      <c r="AB86" s="8" t="s">
        <v>74</v>
      </c>
      <c r="AC86" s="6" t="str">
        <f t="shared" si="45"/>
        <v>TBP</v>
      </c>
      <c r="AD86" s="6" t="s">
        <v>74</v>
      </c>
      <c r="AE86" s="6" t="str">
        <f t="shared" si="46"/>
        <v>TBP</v>
      </c>
      <c r="AF86" s="6" t="s">
        <v>106</v>
      </c>
      <c r="AG86" s="6" t="str">
        <f t="shared" si="47"/>
        <v>TBP</v>
      </c>
      <c r="AH86" s="6" t="s">
        <v>74</v>
      </c>
      <c r="AI86" s="6" t="str">
        <f t="shared" si="48"/>
        <v>TBP</v>
      </c>
      <c r="AJ86" s="6" t="s">
        <v>74</v>
      </c>
      <c r="AK86" s="6" t="str">
        <f t="shared" si="49"/>
        <v>TBP</v>
      </c>
      <c r="AL86" s="6" t="s">
        <v>74</v>
      </c>
      <c r="AM86" s="6" t="str">
        <f t="shared" si="50"/>
        <v>TBP</v>
      </c>
      <c r="AN86" s="6" t="s">
        <v>74</v>
      </c>
      <c r="AO86" s="6" t="str">
        <f t="shared" si="51"/>
        <v>TBP</v>
      </c>
      <c r="AP86" s="6" t="s">
        <v>74</v>
      </c>
      <c r="AQ86" s="6" t="str">
        <f t="shared" si="52"/>
        <v>TBP</v>
      </c>
      <c r="AR86" s="6" t="s">
        <v>74</v>
      </c>
      <c r="AS86" s="6" t="str">
        <f t="shared" si="53"/>
        <v>TBP</v>
      </c>
      <c r="AT86" s="6" t="s">
        <v>74</v>
      </c>
      <c r="AU86" s="6" t="str">
        <f t="shared" si="54"/>
        <v>TBP</v>
      </c>
      <c r="AW86" s="6" t="s">
        <v>74</v>
      </c>
    </row>
    <row r="87" spans="3:49" x14ac:dyDescent="0.35">
      <c r="C87" s="1" t="s">
        <v>199</v>
      </c>
      <c r="D87" s="21" t="s">
        <v>219</v>
      </c>
      <c r="E87" s="19" t="s">
        <v>217</v>
      </c>
      <c r="F87" s="20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W87" s="8" t="s">
        <v>77</v>
      </c>
    </row>
    <row r="88" spans="3:49" x14ac:dyDescent="0.35">
      <c r="C88" s="1" t="s">
        <v>199</v>
      </c>
      <c r="D88" s="21" t="s">
        <v>220</v>
      </c>
      <c r="E88" s="19" t="s">
        <v>221</v>
      </c>
      <c r="F88" s="20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8" t="s">
        <v>92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W88" s="6" t="s">
        <v>92</v>
      </c>
    </row>
    <row r="89" spans="3:49" x14ac:dyDescent="0.35">
      <c r="C89" s="1" t="s">
        <v>199</v>
      </c>
      <c r="D89" s="21" t="s">
        <v>222</v>
      </c>
      <c r="E89" s="19" t="s">
        <v>221</v>
      </c>
      <c r="F89" s="20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223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W89" s="6" t="s">
        <v>48</v>
      </c>
    </row>
    <row r="90" spans="3:49" x14ac:dyDescent="0.35">
      <c r="C90" s="1" t="s">
        <v>199</v>
      </c>
      <c r="D90" s="21" t="s">
        <v>224</v>
      </c>
      <c r="E90" s="19" t="s">
        <v>221</v>
      </c>
      <c r="F90" s="20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8" t="s">
        <v>111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W90" s="8" t="s">
        <v>111</v>
      </c>
    </row>
    <row r="91" spans="3:49" x14ac:dyDescent="0.35">
      <c r="C91" s="1"/>
      <c r="D91" s="1"/>
      <c r="E91" s="24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225</v>
      </c>
      <c r="D92" s="1" t="s">
        <v>226</v>
      </c>
      <c r="E92" s="11"/>
      <c r="F92" s="1"/>
      <c r="G92" s="1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N92" s="6" t="s">
        <v>83</v>
      </c>
      <c r="O92" s="1" t="str">
        <f t="shared" si="38"/>
        <v>TBP</v>
      </c>
      <c r="P92" s="1"/>
      <c r="Q92" s="1" t="str">
        <f t="shared" si="39"/>
        <v>TBP</v>
      </c>
      <c r="S92" s="6" t="str">
        <f t="shared" si="40"/>
        <v>TBP</v>
      </c>
      <c r="U92" s="6" t="str">
        <f t="shared" si="41"/>
        <v>TBP</v>
      </c>
      <c r="W92" s="6" t="str">
        <f t="shared" si="42"/>
        <v>TBP</v>
      </c>
      <c r="Y92" s="6" t="str">
        <f t="shared" si="43"/>
        <v>TBP</v>
      </c>
      <c r="AA92" s="6" t="str">
        <f t="shared" si="44"/>
        <v>TBP</v>
      </c>
      <c r="AC92" s="6" t="str">
        <f t="shared" si="45"/>
        <v>TBP</v>
      </c>
      <c r="AE92" s="6" t="str">
        <f t="shared" si="46"/>
        <v>TBP</v>
      </c>
      <c r="AG92" s="6" t="str">
        <f t="shared" si="47"/>
        <v>TBP</v>
      </c>
      <c r="AI92" s="6" t="str">
        <f t="shared" si="48"/>
        <v>TBP</v>
      </c>
      <c r="AK92" s="6" t="str">
        <f t="shared" si="49"/>
        <v>TBP</v>
      </c>
      <c r="AM92" s="6" t="str">
        <f t="shared" si="50"/>
        <v>TBP</v>
      </c>
      <c r="AO92" s="6" t="str">
        <f t="shared" si="51"/>
        <v>TBP</v>
      </c>
      <c r="AQ92" s="6" t="str">
        <f t="shared" si="52"/>
        <v>TBP</v>
      </c>
      <c r="AS92" s="6" t="str">
        <f t="shared" si="53"/>
        <v>TBP</v>
      </c>
      <c r="AU92" s="6" t="str">
        <f t="shared" si="54"/>
        <v>TBP</v>
      </c>
      <c r="AW92" s="6" t="str">
        <f t="shared" ref="AW92:AW108" si="55">IF(ISBLANK(K92),"TBP",IF(AV92=K92,"Matched","No Match"))</f>
        <v>TBP</v>
      </c>
    </row>
    <row r="93" spans="3:49" x14ac:dyDescent="0.35">
      <c r="C93" s="1" t="s">
        <v>225</v>
      </c>
      <c r="D93" s="1" t="s">
        <v>227</v>
      </c>
      <c r="E93" s="11"/>
      <c r="F93" s="1"/>
      <c r="G93" s="1" t="str">
        <f>K77</f>
        <v>Paraguay</v>
      </c>
      <c r="H93" s="1" t="str">
        <f>K80</f>
        <v>France</v>
      </c>
      <c r="I93" s="1">
        <v>89</v>
      </c>
      <c r="J93" s="1" t="s">
        <v>110</v>
      </c>
      <c r="K93" s="1"/>
      <c r="L93" s="6" t="s">
        <v>60</v>
      </c>
      <c r="M93" s="1" t="str">
        <f t="shared" si="19"/>
        <v>TBP</v>
      </c>
      <c r="O93" s="1" t="str">
        <f t="shared" si="38"/>
        <v>TBP</v>
      </c>
      <c r="P93" s="1"/>
      <c r="Q93" s="1" t="str">
        <f t="shared" si="39"/>
        <v>TBP</v>
      </c>
      <c r="S93" s="6" t="str">
        <f t="shared" si="40"/>
        <v>TBP</v>
      </c>
      <c r="U93" s="6" t="str">
        <f t="shared" si="41"/>
        <v>TBP</v>
      </c>
      <c r="W93" s="6" t="str">
        <f t="shared" si="42"/>
        <v>TBP</v>
      </c>
      <c r="Y93" s="6" t="str">
        <f t="shared" si="43"/>
        <v>TBP</v>
      </c>
      <c r="AA93" s="6" t="str">
        <f t="shared" si="44"/>
        <v>TBP</v>
      </c>
      <c r="AC93" s="6" t="str">
        <f t="shared" si="45"/>
        <v>TBP</v>
      </c>
      <c r="AE93" s="6" t="str">
        <f t="shared" si="46"/>
        <v>TBP</v>
      </c>
      <c r="AG93" s="6" t="str">
        <f t="shared" si="47"/>
        <v>TBP</v>
      </c>
      <c r="AI93" s="6" t="str">
        <f t="shared" si="48"/>
        <v>TBP</v>
      </c>
      <c r="AK93" s="6" t="str">
        <f t="shared" si="49"/>
        <v>TBP</v>
      </c>
      <c r="AM93" s="6" t="str">
        <f t="shared" si="50"/>
        <v>TBP</v>
      </c>
      <c r="AO93" s="6" t="str">
        <f t="shared" si="51"/>
        <v>TBP</v>
      </c>
      <c r="AQ93" s="6" t="str">
        <f t="shared" si="52"/>
        <v>TBP</v>
      </c>
      <c r="AS93" s="6" t="str">
        <f t="shared" si="53"/>
        <v>TBP</v>
      </c>
      <c r="AU93" s="6" t="str">
        <f t="shared" si="54"/>
        <v>TBP</v>
      </c>
      <c r="AW93" s="6" t="str">
        <f t="shared" si="55"/>
        <v>TBP</v>
      </c>
    </row>
    <row r="94" spans="3:49" x14ac:dyDescent="0.35">
      <c r="C94" s="1" t="s">
        <v>225</v>
      </c>
      <c r="D94" s="1" t="s">
        <v>228</v>
      </c>
      <c r="E94" s="11"/>
      <c r="F94" s="1"/>
      <c r="G94" s="1" t="str">
        <f>K76</f>
        <v>Brazil</v>
      </c>
      <c r="H94" s="1" t="str">
        <f>K79</f>
        <v>Norway</v>
      </c>
      <c r="I94" s="1">
        <v>91</v>
      </c>
      <c r="J94" s="1" t="s">
        <v>84</v>
      </c>
      <c r="K94" s="1"/>
      <c r="L94" s="6" t="s">
        <v>79</v>
      </c>
      <c r="M94" s="1" t="str">
        <f t="shared" si="19"/>
        <v>TBP</v>
      </c>
      <c r="O94" s="1" t="str">
        <f t="shared" si="38"/>
        <v>TBP</v>
      </c>
      <c r="P94" s="1"/>
      <c r="Q94" s="1" t="str">
        <f t="shared" si="39"/>
        <v>TBP</v>
      </c>
      <c r="S94" s="6" t="str">
        <f t="shared" si="40"/>
        <v>TBP</v>
      </c>
      <c r="U94" s="6" t="str">
        <f t="shared" si="41"/>
        <v>TBP</v>
      </c>
      <c r="W94" s="6" t="str">
        <f t="shared" si="42"/>
        <v>TBP</v>
      </c>
      <c r="Y94" s="6" t="str">
        <f t="shared" si="43"/>
        <v>TBP</v>
      </c>
      <c r="AA94" s="6" t="str">
        <f t="shared" si="44"/>
        <v>TBP</v>
      </c>
      <c r="AC94" s="6" t="str">
        <f t="shared" si="45"/>
        <v>TBP</v>
      </c>
      <c r="AE94" s="6" t="str">
        <f t="shared" si="46"/>
        <v>TBP</v>
      </c>
      <c r="AG94" s="6" t="str">
        <f t="shared" si="47"/>
        <v>TBP</v>
      </c>
      <c r="AI94" s="6" t="str">
        <f t="shared" si="48"/>
        <v>TBP</v>
      </c>
      <c r="AK94" s="6" t="str">
        <f t="shared" si="49"/>
        <v>TBP</v>
      </c>
      <c r="AM94" s="6" t="str">
        <f t="shared" si="50"/>
        <v>TBP</v>
      </c>
      <c r="AO94" s="6" t="str">
        <f t="shared" si="51"/>
        <v>TBP</v>
      </c>
      <c r="AQ94" s="6" t="str">
        <f t="shared" si="52"/>
        <v>TBP</v>
      </c>
      <c r="AS94" s="6" t="str">
        <f t="shared" si="53"/>
        <v>TBP</v>
      </c>
      <c r="AU94" s="6" t="str">
        <f t="shared" si="54"/>
        <v>TBP</v>
      </c>
      <c r="AW94" s="6" t="str">
        <f t="shared" si="55"/>
        <v>TBP</v>
      </c>
    </row>
    <row r="95" spans="3:49" x14ac:dyDescent="0.35">
      <c r="C95" s="1" t="s">
        <v>225</v>
      </c>
      <c r="D95" s="1" t="s">
        <v>229</v>
      </c>
      <c r="E95" s="11"/>
      <c r="F95" s="1"/>
      <c r="G95" s="1">
        <f>K81</f>
        <v>0</v>
      </c>
      <c r="H95" s="1">
        <f>K82</f>
        <v>0</v>
      </c>
      <c r="I95" s="1">
        <v>92</v>
      </c>
      <c r="J95" s="1" t="s">
        <v>53</v>
      </c>
      <c r="K95" s="1"/>
      <c r="M95" s="1" t="str">
        <f t="shared" si="19"/>
        <v>TBP</v>
      </c>
      <c r="O95" s="1" t="str">
        <f t="shared" si="38"/>
        <v>TBP</v>
      </c>
      <c r="P95" s="1"/>
      <c r="Q95" s="1" t="str">
        <f t="shared" si="39"/>
        <v>TBP</v>
      </c>
      <c r="S95" s="6" t="str">
        <f t="shared" si="40"/>
        <v>TBP</v>
      </c>
      <c r="U95" s="6" t="str">
        <f t="shared" si="41"/>
        <v>TBP</v>
      </c>
      <c r="W95" s="6" t="str">
        <f t="shared" si="42"/>
        <v>TBP</v>
      </c>
      <c r="Y95" s="6" t="str">
        <f t="shared" si="43"/>
        <v>TBP</v>
      </c>
      <c r="AA95" s="6" t="str">
        <f t="shared" si="44"/>
        <v>TBP</v>
      </c>
      <c r="AC95" s="6" t="str">
        <f t="shared" si="45"/>
        <v>TBP</v>
      </c>
      <c r="AE95" s="6" t="str">
        <f t="shared" si="46"/>
        <v>TBP</v>
      </c>
      <c r="AG95" s="6" t="str">
        <f t="shared" si="47"/>
        <v>TBP</v>
      </c>
      <c r="AI95" s="6" t="str">
        <f t="shared" si="48"/>
        <v>TBP</v>
      </c>
      <c r="AK95" s="6" t="str">
        <f t="shared" si="49"/>
        <v>TBP</v>
      </c>
      <c r="AM95" s="6" t="str">
        <f t="shared" si="50"/>
        <v>TBP</v>
      </c>
      <c r="AO95" s="6" t="str">
        <f t="shared" si="51"/>
        <v>TBP</v>
      </c>
      <c r="AQ95" s="6" t="str">
        <f t="shared" si="52"/>
        <v>TBP</v>
      </c>
      <c r="AS95" s="6" t="str">
        <f t="shared" si="53"/>
        <v>TBP</v>
      </c>
      <c r="AU95" s="6" t="str">
        <f t="shared" si="54"/>
        <v>TBP</v>
      </c>
      <c r="AW95" s="6" t="str">
        <f t="shared" si="55"/>
        <v>TBP</v>
      </c>
    </row>
    <row r="96" spans="3:49" x14ac:dyDescent="0.35">
      <c r="C96" s="1" t="s">
        <v>225</v>
      </c>
      <c r="D96" s="1" t="s">
        <v>230</v>
      </c>
      <c r="E96" s="11"/>
      <c r="F96" s="1"/>
      <c r="G96" s="1">
        <f>K86</f>
        <v>0</v>
      </c>
      <c r="H96" s="1">
        <f>K85</f>
        <v>0</v>
      </c>
      <c r="I96" s="1">
        <v>93</v>
      </c>
      <c r="J96" s="1" t="s">
        <v>105</v>
      </c>
      <c r="K96" s="1"/>
      <c r="M96" s="1" t="str">
        <f t="shared" si="19"/>
        <v>TBP</v>
      </c>
      <c r="O96" s="1" t="str">
        <f t="shared" si="38"/>
        <v>TBP</v>
      </c>
      <c r="P96" s="1"/>
      <c r="Q96" s="1" t="str">
        <f t="shared" si="39"/>
        <v>TBP</v>
      </c>
      <c r="S96" s="6" t="str">
        <f t="shared" si="40"/>
        <v>TBP</v>
      </c>
      <c r="U96" s="6" t="str">
        <f t="shared" si="41"/>
        <v>TBP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I96" s="6" t="str">
        <f t="shared" si="48"/>
        <v>TBP</v>
      </c>
      <c r="AK96" s="6" t="str">
        <f t="shared" si="49"/>
        <v>TBP</v>
      </c>
      <c r="AM96" s="6" t="str">
        <f t="shared" si="50"/>
        <v>TBP</v>
      </c>
      <c r="AO96" s="6" t="str">
        <f t="shared" si="51"/>
        <v>TBP</v>
      </c>
      <c r="AQ96" s="6" t="str">
        <f t="shared" si="52"/>
        <v>TBP</v>
      </c>
      <c r="AS96" s="6" t="str">
        <f t="shared" si="53"/>
        <v>TBP</v>
      </c>
      <c r="AU96" s="6" t="str">
        <f t="shared" si="54"/>
        <v>TBP</v>
      </c>
      <c r="AW96" s="6" t="str">
        <f t="shared" si="55"/>
        <v>TBP</v>
      </c>
    </row>
    <row r="97" spans="3:49" x14ac:dyDescent="0.35">
      <c r="C97" s="1" t="s">
        <v>225</v>
      </c>
      <c r="D97" s="1" t="s">
        <v>231</v>
      </c>
      <c r="E97" s="11"/>
      <c r="F97" s="1"/>
      <c r="G97" s="1">
        <f>K84</f>
        <v>0</v>
      </c>
      <c r="H97" s="1">
        <f>K83</f>
        <v>0</v>
      </c>
      <c r="I97" s="1">
        <v>94</v>
      </c>
      <c r="J97" s="1" t="s">
        <v>124</v>
      </c>
      <c r="K97" s="1"/>
      <c r="M97" s="1" t="str">
        <f t="shared" si="19"/>
        <v>TBP</v>
      </c>
      <c r="O97" s="1" t="str">
        <f t="shared" si="38"/>
        <v>TBP</v>
      </c>
      <c r="P97" s="1"/>
      <c r="Q97" s="1" t="str">
        <f t="shared" si="39"/>
        <v>TBP</v>
      </c>
      <c r="S97" s="6" t="str">
        <f t="shared" si="40"/>
        <v>TBP</v>
      </c>
      <c r="U97" s="6" t="str">
        <f t="shared" si="41"/>
        <v>TBP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I97" s="6" t="str">
        <f t="shared" si="48"/>
        <v>TBP</v>
      </c>
      <c r="AK97" s="6" t="str">
        <f t="shared" si="49"/>
        <v>TBP</v>
      </c>
      <c r="AM97" s="6" t="str">
        <f t="shared" si="50"/>
        <v>TBP</v>
      </c>
      <c r="AO97" s="6" t="str">
        <f t="shared" si="51"/>
        <v>TBP</v>
      </c>
      <c r="AQ97" s="6" t="str">
        <f t="shared" si="52"/>
        <v>TBP</v>
      </c>
      <c r="AS97" s="6" t="str">
        <f t="shared" si="53"/>
        <v>TBP</v>
      </c>
      <c r="AU97" s="6" t="str">
        <f t="shared" si="54"/>
        <v>TBP</v>
      </c>
      <c r="AW97" s="6" t="str">
        <f t="shared" si="55"/>
        <v>TBP</v>
      </c>
    </row>
    <row r="98" spans="3:49" x14ac:dyDescent="0.35">
      <c r="C98" s="1" t="s">
        <v>225</v>
      </c>
      <c r="D98" s="1" t="s">
        <v>232</v>
      </c>
      <c r="E98" s="11"/>
      <c r="F98" s="1"/>
      <c r="G98" s="1">
        <f>K89</f>
        <v>0</v>
      </c>
      <c r="H98" s="1">
        <f>K88</f>
        <v>0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5"/>
        <v>TBP</v>
      </c>
    </row>
    <row r="99" spans="3:49" x14ac:dyDescent="0.35">
      <c r="C99" s="1" t="s">
        <v>225</v>
      </c>
      <c r="D99" s="1" t="s">
        <v>233</v>
      </c>
      <c r="E99" s="11"/>
      <c r="F99" s="1"/>
      <c r="G99" s="1">
        <f>K87</f>
        <v>0</v>
      </c>
      <c r="H99" s="1">
        <f>K90</f>
        <v>0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5"/>
        <v>TBP</v>
      </c>
    </row>
    <row r="100" spans="3:49" x14ac:dyDescent="0.35">
      <c r="C100" s="1"/>
      <c r="D100" s="1"/>
      <c r="E100" s="11"/>
      <c r="F100" s="1"/>
      <c r="G100" s="1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5"/>
        <v>TBP</v>
      </c>
    </row>
    <row r="101" spans="3:49" x14ac:dyDescent="0.35">
      <c r="C101" s="1" t="s">
        <v>234</v>
      </c>
      <c r="D101" s="1" t="s">
        <v>235</v>
      </c>
      <c r="E101" s="11"/>
      <c r="F101" s="1"/>
      <c r="G101" s="1">
        <f>K93</f>
        <v>0</v>
      </c>
      <c r="H101" s="1">
        <f>K92</f>
        <v>0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5"/>
        <v>TBP</v>
      </c>
    </row>
    <row r="102" spans="3:49" x14ac:dyDescent="0.35">
      <c r="C102" s="1" t="s">
        <v>234</v>
      </c>
      <c r="D102" s="1" t="s">
        <v>236</v>
      </c>
      <c r="E102" s="11"/>
      <c r="F102" s="1"/>
      <c r="G102" s="1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5"/>
        <v>TBP</v>
      </c>
    </row>
    <row r="103" spans="3:49" x14ac:dyDescent="0.35">
      <c r="C103" s="1" t="s">
        <v>234</v>
      </c>
      <c r="D103" s="1" t="s">
        <v>237</v>
      </c>
      <c r="E103" s="11"/>
      <c r="F103" s="1"/>
      <c r="G103" s="1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5"/>
        <v>TBP</v>
      </c>
    </row>
    <row r="104" spans="3:49" x14ac:dyDescent="0.35">
      <c r="C104" s="1" t="s">
        <v>234</v>
      </c>
      <c r="D104" s="1" t="s">
        <v>238</v>
      </c>
      <c r="E104" s="11"/>
      <c r="F104" s="1"/>
      <c r="G104" s="1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5"/>
        <v>TBP</v>
      </c>
    </row>
    <row r="105" spans="3:49" x14ac:dyDescent="0.35">
      <c r="C105" s="1" t="s">
        <v>239</v>
      </c>
      <c r="D105" s="1" t="s">
        <v>240</v>
      </c>
      <c r="E105" s="11"/>
      <c r="F105" s="1"/>
      <c r="G105" s="1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5"/>
        <v>TBP</v>
      </c>
    </row>
    <row r="106" spans="3:49" x14ac:dyDescent="0.35">
      <c r="C106" s="1" t="s">
        <v>239</v>
      </c>
      <c r="D106" s="1" t="s">
        <v>241</v>
      </c>
      <c r="E106" s="11"/>
      <c r="F106" s="1"/>
      <c r="G106" s="1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5"/>
        <v>TBP</v>
      </c>
    </row>
    <row r="107" spans="3:49" x14ac:dyDescent="0.35">
      <c r="C107" s="1" t="s">
        <v>242</v>
      </c>
      <c r="D107" s="1" t="s">
        <v>243</v>
      </c>
      <c r="E107" s="11"/>
      <c r="F107" s="1"/>
      <c r="G107" s="1" t="s">
        <v>244</v>
      </c>
      <c r="H107" s="1" t="s">
        <v>245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5"/>
        <v>TBP</v>
      </c>
    </row>
    <row r="108" spans="3:49" x14ac:dyDescent="0.35">
      <c r="C108" s="1" t="s">
        <v>246</v>
      </c>
      <c r="D108" s="1" t="s">
        <v>247</v>
      </c>
      <c r="E108" s="11"/>
      <c r="F108" s="1"/>
      <c r="G108" s="1" t="s">
        <v>248</v>
      </c>
      <c r="H108" s="1" t="s">
        <v>249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5"/>
        <v>TBP</v>
      </c>
    </row>
    <row r="110" spans="3:49" x14ac:dyDescent="0.35">
      <c r="M110" s="6">
        <f>COUNTIF(M75:M108, "Matched")</f>
        <v>3</v>
      </c>
      <c r="O110" s="6">
        <f>COUNTIF(O75:O108, "Matched")</f>
        <v>2</v>
      </c>
      <c r="Q110" s="6">
        <f>COUNTIF(Q75:Q108, "Matched")</f>
        <v>3</v>
      </c>
      <c r="S110" s="6">
        <f>COUNTIF(S75:S108, "Matched")</f>
        <v>3</v>
      </c>
      <c r="U110" s="6">
        <f>COUNTIF(U75:U108, "Matched")</f>
        <v>2</v>
      </c>
      <c r="W110" s="6">
        <f>COUNTIF(W75:W108, "Matched")</f>
        <v>2</v>
      </c>
      <c r="Y110" s="6">
        <f>COUNTIF(Y75:Y108, "Matched")</f>
        <v>2</v>
      </c>
      <c r="AA110" s="6">
        <f>COUNTIF(AA75:AA108, "Matched")</f>
        <v>3</v>
      </c>
      <c r="AC110" s="6">
        <f>COUNTIF(AC75:AC108, "Matched")</f>
        <v>3</v>
      </c>
      <c r="AE110" s="6">
        <f>COUNTIF(AE75:AE108, "Matched")</f>
        <v>3</v>
      </c>
      <c r="AG110" s="6">
        <f>COUNTIF(AG75:AG108, "Matched")</f>
        <v>2</v>
      </c>
      <c r="AI110" s="6">
        <f>COUNTIF(AI75:AI108, "Matched")</f>
        <v>3</v>
      </c>
      <c r="AK110" s="6">
        <f>COUNTIF(AK75:AK108, "Matched")</f>
        <v>4</v>
      </c>
      <c r="AM110" s="6">
        <f>COUNTIF(AM75:AM108, "Matched")</f>
        <v>3</v>
      </c>
      <c r="AO110" s="6">
        <f>COUNTIF(AO75:AO108, "Matched")</f>
        <v>4</v>
      </c>
      <c r="AQ110" s="6">
        <f>COUNTIF(AQ75:AQ108, "Matched")</f>
        <v>4</v>
      </c>
      <c r="AS110" s="6">
        <f>COUNTIF(AS75:AS108, "Matched")</f>
        <v>3</v>
      </c>
      <c r="AU110" s="6">
        <f>COUNTIF(AU75:AU108, "Matched")</f>
        <v>3</v>
      </c>
      <c r="AW110" s="6">
        <f>COUNTIF(AW75:AW108, "Matched")</f>
        <v>0</v>
      </c>
    </row>
    <row r="111" spans="3:49" x14ac:dyDescent="0.35">
      <c r="C111" s="27" t="s">
        <v>250</v>
      </c>
      <c r="M111" s="27">
        <f>M74+M110</f>
        <v>40</v>
      </c>
      <c r="O111" s="27">
        <f>O74+O110</f>
        <v>46</v>
      </c>
      <c r="Q111" s="27">
        <f>Q74+Q110</f>
        <v>44</v>
      </c>
      <c r="S111" s="27">
        <f>S74+S110</f>
        <v>46</v>
      </c>
      <c r="U111" s="27">
        <f>U74+U110</f>
        <v>43</v>
      </c>
      <c r="W111" s="27">
        <f>W74+W110</f>
        <v>46</v>
      </c>
      <c r="Y111" s="27">
        <f>Y74+Y110</f>
        <v>47</v>
      </c>
      <c r="AA111" s="27">
        <f>AA74+AA110</f>
        <v>40</v>
      </c>
      <c r="AC111" s="27">
        <f>AC74+AC110</f>
        <v>47</v>
      </c>
      <c r="AE111" s="27">
        <f>AE74+AE110</f>
        <v>47</v>
      </c>
      <c r="AG111" s="27">
        <f>AG74+AG110</f>
        <v>46</v>
      </c>
      <c r="AI111" s="27">
        <f>AI74+AI110</f>
        <v>46</v>
      </c>
      <c r="AK111" s="27">
        <f>AK74+AK110</f>
        <v>46</v>
      </c>
      <c r="AM111" s="27">
        <f>AM74+AM110</f>
        <v>49</v>
      </c>
      <c r="AO111" s="27">
        <f>AO74+AO110</f>
        <v>50</v>
      </c>
      <c r="AQ111" s="27">
        <f>AQ74+AQ110</f>
        <v>43</v>
      </c>
      <c r="AS111" s="27">
        <f>AS74+AS110</f>
        <v>52</v>
      </c>
      <c r="AU111" s="27">
        <f>AU74+AU110</f>
        <v>47</v>
      </c>
      <c r="AW111" s="27">
        <f>AW74+AW110</f>
        <v>42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86 AW88:AW89 AW91:AW1048576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251</v>
      </c>
      <c r="B1" t="s">
        <v>252</v>
      </c>
      <c r="D1" s="1" t="s">
        <v>48</v>
      </c>
      <c r="E1" s="2">
        <v>1</v>
      </c>
      <c r="G1" s="2" t="s">
        <v>253</v>
      </c>
      <c r="H1" s="2">
        <v>6</v>
      </c>
    </row>
    <row r="2" spans="1:8" x14ac:dyDescent="0.35">
      <c r="A2" s="7" t="s">
        <v>254</v>
      </c>
      <c r="B2" s="7" t="s">
        <v>255</v>
      </c>
      <c r="D2" s="1" t="s">
        <v>54</v>
      </c>
      <c r="E2" s="2">
        <v>2</v>
      </c>
      <c r="G2" s="2" t="s">
        <v>256</v>
      </c>
      <c r="H2" s="2">
        <v>6</v>
      </c>
    </row>
    <row r="3" spans="1:8" x14ac:dyDescent="0.35">
      <c r="A3" s="7" t="s">
        <v>257</v>
      </c>
      <c r="B3" t="s">
        <v>255</v>
      </c>
      <c r="D3" s="1" t="s">
        <v>60</v>
      </c>
      <c r="E3" s="2">
        <v>3</v>
      </c>
      <c r="G3" s="2" t="s">
        <v>257</v>
      </c>
      <c r="H3" s="2">
        <v>5</v>
      </c>
    </row>
    <row r="4" spans="1:8" x14ac:dyDescent="0.35">
      <c r="A4" s="7" t="s">
        <v>258</v>
      </c>
      <c r="B4" s="7" t="s">
        <v>255</v>
      </c>
      <c r="D4" s="1" t="s">
        <v>67</v>
      </c>
      <c r="E4" s="2">
        <v>4</v>
      </c>
      <c r="G4" s="2" t="s">
        <v>258</v>
      </c>
      <c r="H4" s="2">
        <v>5</v>
      </c>
    </row>
    <row r="5" spans="1:8" x14ac:dyDescent="0.35">
      <c r="A5" s="7" t="s">
        <v>259</v>
      </c>
      <c r="B5" s="7" t="s">
        <v>255</v>
      </c>
      <c r="D5" s="1" t="s">
        <v>74</v>
      </c>
      <c r="E5" s="2">
        <v>5</v>
      </c>
      <c r="G5" s="2" t="s">
        <v>259</v>
      </c>
      <c r="H5" s="2">
        <v>5</v>
      </c>
    </row>
    <row r="6" spans="1:8" x14ac:dyDescent="0.35">
      <c r="A6" s="7" t="s">
        <v>260</v>
      </c>
      <c r="B6" s="7" t="s">
        <v>255</v>
      </c>
      <c r="D6" s="1" t="s">
        <v>79</v>
      </c>
      <c r="E6" s="2">
        <v>6</v>
      </c>
      <c r="G6" s="2" t="s">
        <v>260</v>
      </c>
      <c r="H6" s="2">
        <v>5</v>
      </c>
    </row>
    <row r="7" spans="1:8" x14ac:dyDescent="0.35">
      <c r="A7" s="7" t="s">
        <v>261</v>
      </c>
      <c r="B7" s="7" t="s">
        <v>255</v>
      </c>
      <c r="D7" s="1" t="s">
        <v>83</v>
      </c>
      <c r="E7" s="2">
        <v>7</v>
      </c>
      <c r="G7" s="2" t="s">
        <v>261</v>
      </c>
      <c r="H7" s="2">
        <v>5</v>
      </c>
    </row>
    <row r="8" spans="1:8" x14ac:dyDescent="0.35">
      <c r="A8" t="s">
        <v>262</v>
      </c>
      <c r="B8" s="7"/>
      <c r="D8" s="1" t="s">
        <v>89</v>
      </c>
      <c r="E8" s="2">
        <v>8</v>
      </c>
      <c r="G8" s="2" t="s">
        <v>263</v>
      </c>
      <c r="H8" s="2">
        <v>5</v>
      </c>
    </row>
    <row r="9" spans="1:8" x14ac:dyDescent="0.35">
      <c r="A9" s="7" t="s">
        <v>263</v>
      </c>
      <c r="B9" s="7" t="s">
        <v>255</v>
      </c>
      <c r="D9" s="1" t="s">
        <v>96</v>
      </c>
      <c r="E9" s="2">
        <v>9</v>
      </c>
      <c r="G9" s="2" t="s">
        <v>264</v>
      </c>
      <c r="H9" s="2">
        <v>5</v>
      </c>
    </row>
    <row r="10" spans="1:8" x14ac:dyDescent="0.35">
      <c r="A10" s="7" t="s">
        <v>253</v>
      </c>
      <c r="B10" s="7" t="s">
        <v>255</v>
      </c>
      <c r="D10" s="1" t="s">
        <v>99</v>
      </c>
      <c r="E10" s="2">
        <v>10</v>
      </c>
      <c r="G10" s="2" t="s">
        <v>265</v>
      </c>
      <c r="H10" s="2">
        <v>5</v>
      </c>
    </row>
    <row r="11" spans="1:8" x14ac:dyDescent="0.35">
      <c r="A11" s="7" t="s">
        <v>266</v>
      </c>
      <c r="B11" s="7" t="s">
        <v>255</v>
      </c>
      <c r="D11" s="1" t="s">
        <v>106</v>
      </c>
      <c r="E11" s="2">
        <v>11</v>
      </c>
      <c r="G11" s="2" t="s">
        <v>267</v>
      </c>
      <c r="H11" s="2">
        <v>5</v>
      </c>
    </row>
    <row r="12" spans="1:8" x14ac:dyDescent="0.35">
      <c r="A12" s="7" t="s">
        <v>268</v>
      </c>
      <c r="B12" s="7" t="s">
        <v>255</v>
      </c>
      <c r="D12" s="1" t="s">
        <v>111</v>
      </c>
      <c r="E12" s="2">
        <v>13</v>
      </c>
      <c r="G12" s="2" t="s">
        <v>269</v>
      </c>
      <c r="H12" s="2">
        <v>5</v>
      </c>
    </row>
    <row r="13" spans="1:8" x14ac:dyDescent="0.35">
      <c r="A13" s="7" t="s">
        <v>270</v>
      </c>
      <c r="B13" s="7" t="s">
        <v>255</v>
      </c>
      <c r="D13" s="1" t="s">
        <v>51</v>
      </c>
      <c r="E13" s="2">
        <v>14</v>
      </c>
      <c r="G13" s="2" t="s">
        <v>266</v>
      </c>
      <c r="H13" s="2">
        <v>4</v>
      </c>
    </row>
    <row r="14" spans="1:8" x14ac:dyDescent="0.35">
      <c r="A14" s="7" t="s">
        <v>271</v>
      </c>
      <c r="B14" s="7" t="s">
        <v>255</v>
      </c>
      <c r="D14" s="1" t="s">
        <v>120</v>
      </c>
      <c r="E14" s="2">
        <v>15</v>
      </c>
      <c r="G14" s="2" t="s">
        <v>268</v>
      </c>
      <c r="H14" s="2">
        <v>4</v>
      </c>
    </row>
    <row r="15" spans="1:8" x14ac:dyDescent="0.35">
      <c r="A15" s="7" t="s">
        <v>264</v>
      </c>
      <c r="B15" s="7" t="s">
        <v>255</v>
      </c>
      <c r="D15" s="1" t="s">
        <v>71</v>
      </c>
      <c r="E15" s="2">
        <v>16</v>
      </c>
      <c r="G15" s="2" t="s">
        <v>270</v>
      </c>
      <c r="H15" s="2">
        <v>4</v>
      </c>
    </row>
    <row r="16" spans="1:8" x14ac:dyDescent="0.35">
      <c r="A16" s="7" t="s">
        <v>265</v>
      </c>
      <c r="B16" s="7" t="s">
        <v>255</v>
      </c>
      <c r="D16" s="1" t="s">
        <v>127</v>
      </c>
      <c r="E16" s="2">
        <v>17</v>
      </c>
      <c r="G16" s="2" t="s">
        <v>272</v>
      </c>
      <c r="H16" s="2">
        <v>4</v>
      </c>
    </row>
    <row r="17" spans="1:8" x14ac:dyDescent="0.35">
      <c r="A17" s="7" t="s">
        <v>272</v>
      </c>
      <c r="B17" s="7" t="s">
        <v>255</v>
      </c>
      <c r="D17" s="1" t="s">
        <v>104</v>
      </c>
      <c r="E17" s="2">
        <v>18</v>
      </c>
      <c r="G17" s="2" t="s">
        <v>254</v>
      </c>
      <c r="H17" s="2">
        <v>3</v>
      </c>
    </row>
    <row r="18" spans="1:8" x14ac:dyDescent="0.35">
      <c r="A18" s="7" t="s">
        <v>256</v>
      </c>
      <c r="B18" s="7" t="s">
        <v>255</v>
      </c>
      <c r="D18" s="1" t="s">
        <v>77</v>
      </c>
      <c r="E18" s="2">
        <v>19</v>
      </c>
      <c r="G18" s="2" t="s">
        <v>271</v>
      </c>
      <c r="H18" s="2">
        <v>3</v>
      </c>
    </row>
    <row r="19" spans="1:8" x14ac:dyDescent="0.35">
      <c r="A19" s="7" t="s">
        <v>267</v>
      </c>
      <c r="B19" s="7" t="s">
        <v>255</v>
      </c>
      <c r="D19" s="1" t="s">
        <v>130</v>
      </c>
      <c r="E19" s="2">
        <v>20</v>
      </c>
      <c r="G19" s="2" t="s">
        <v>262</v>
      </c>
      <c r="H19" s="2">
        <v>2</v>
      </c>
    </row>
    <row r="20" spans="1:8" x14ac:dyDescent="0.35">
      <c r="A20" s="7" t="s">
        <v>269</v>
      </c>
      <c r="B20" s="7" t="s">
        <v>255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273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purl.org/dc/terms/"/>
    <ds:schemaRef ds:uri="http://schemas.openxmlformats.org/package/2006/metadata/core-properties"/>
    <ds:schemaRef ds:uri="dc74d1ae-670c-41ed-9896-4cba0109067e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sharepoint/v3/fields"/>
    <ds:schemaRef ds:uri="37513636-cd07-4f62-aa39-05d899fa6391"/>
    <ds:schemaRef ds:uri="http://purl.org/dc/dcmitype/"/>
    <ds:schemaRef ds:uri="721dfc99-fedf-49dc-96e4-8b6946f0e489"/>
    <ds:schemaRef ds:uri="http://schemas.microsoft.com/sharepoint/v3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2026-07-01T01:42:06Z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